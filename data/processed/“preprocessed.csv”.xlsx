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4a924a0ad87dbe/Documents/"/>
    </mc:Choice>
  </mc:AlternateContent>
  <xr:revisionPtr revIDLastSave="0" documentId="8_{11C2A09A-EC08-4712-97E0-FEE5148124F1}" xr6:coauthVersionLast="47" xr6:coauthVersionMax="47" xr10:uidLastSave="{00000000-0000-0000-0000-000000000000}"/>
  <bookViews>
    <workbookView xWindow="-108" yWindow="-108" windowWidth="23256" windowHeight="13176" xr2:uid="{61687442-71A5-4BBD-B417-B2D3ACDAA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N2" i="1" s="1"/>
  <c r="L2" i="1"/>
  <c r="M2" i="1"/>
  <c r="O2" i="1"/>
  <c r="P2" i="1"/>
  <c r="Q2" i="1"/>
  <c r="R2" i="1"/>
  <c r="S2" i="1"/>
  <c r="X2" i="1"/>
  <c r="Y2" i="1"/>
  <c r="AA2" i="1"/>
  <c r="AB2" i="1"/>
  <c r="AB4" i="1" s="1"/>
  <c r="AC2" i="1"/>
  <c r="G3" i="1"/>
  <c r="N3" i="1" s="1"/>
  <c r="L3" i="1"/>
  <c r="M3" i="1"/>
  <c r="O3" i="1"/>
  <c r="P3" i="1"/>
  <c r="Q3" i="1"/>
  <c r="S3" i="1"/>
  <c r="T3" i="1" s="1"/>
  <c r="X3" i="1"/>
  <c r="X4" i="1" s="1"/>
  <c r="Y3" i="1"/>
  <c r="Y4" i="1" s="1"/>
  <c r="AA3" i="1"/>
  <c r="AA4" i="1" s="1"/>
  <c r="AB3" i="1"/>
  <c r="AC3" i="1"/>
  <c r="G4" i="1"/>
  <c r="N4" i="1" s="1"/>
  <c r="L4" i="1"/>
  <c r="M4" i="1"/>
  <c r="O4" i="1"/>
  <c r="P4" i="1"/>
  <c r="Q4" i="1"/>
  <c r="S4" i="1"/>
  <c r="T4" i="1" s="1"/>
  <c r="U4" i="1"/>
  <c r="V4" i="1"/>
  <c r="W4" i="1"/>
  <c r="Z4" i="1"/>
  <c r="AC4" i="1"/>
  <c r="G5" i="1"/>
  <c r="N5" i="1" s="1"/>
  <c r="R5" i="1" s="1"/>
  <c r="L5" i="1"/>
  <c r="M5" i="1"/>
  <c r="O5" i="1"/>
  <c r="P5" i="1"/>
  <c r="Q5" i="1"/>
  <c r="S5" i="1"/>
  <c r="G6" i="1"/>
  <c r="L6" i="1"/>
  <c r="M6" i="1"/>
  <c r="N6" i="1"/>
  <c r="O6" i="1"/>
  <c r="P6" i="1"/>
  <c r="Q6" i="1"/>
  <c r="S6" i="1"/>
  <c r="T6" i="1" s="1"/>
  <c r="U6" i="1"/>
  <c r="V6" i="1"/>
  <c r="W6" i="1"/>
  <c r="G7" i="1"/>
  <c r="N7" i="1" s="1"/>
  <c r="L7" i="1"/>
  <c r="M7" i="1"/>
  <c r="O7" i="1"/>
  <c r="P7" i="1"/>
  <c r="Q7" i="1"/>
  <c r="S7" i="1"/>
  <c r="T7" i="1" s="1"/>
  <c r="G8" i="1"/>
  <c r="N8" i="1" s="1"/>
  <c r="L8" i="1"/>
  <c r="M8" i="1"/>
  <c r="O8" i="1"/>
  <c r="P8" i="1"/>
  <c r="Q8" i="1"/>
  <c r="S8" i="1"/>
  <c r="T8" i="1"/>
  <c r="G9" i="1"/>
  <c r="L9" i="1"/>
  <c r="M9" i="1"/>
  <c r="N9" i="1"/>
  <c r="R9" i="1" s="1"/>
  <c r="O9" i="1"/>
  <c r="P9" i="1"/>
  <c r="Q9" i="1"/>
  <c r="S9" i="1"/>
  <c r="G10" i="1"/>
  <c r="N10" i="1" s="1"/>
  <c r="L10" i="1"/>
  <c r="M10" i="1"/>
  <c r="O10" i="1"/>
  <c r="P10" i="1"/>
  <c r="Q10" i="1"/>
  <c r="R10" i="1"/>
  <c r="S10" i="1"/>
  <c r="U10" i="1" s="1"/>
  <c r="V10" i="1"/>
  <c r="G11" i="1"/>
  <c r="N11" i="1" s="1"/>
  <c r="L11" i="1"/>
  <c r="M11" i="1"/>
  <c r="O11" i="1"/>
  <c r="P11" i="1"/>
  <c r="Q11" i="1"/>
  <c r="S11" i="1"/>
  <c r="T11" i="1"/>
  <c r="U11" i="1"/>
  <c r="V11" i="1"/>
  <c r="W11" i="1"/>
  <c r="G12" i="1"/>
  <c r="N12" i="1" s="1"/>
  <c r="L12" i="1"/>
  <c r="M12" i="1"/>
  <c r="O12" i="1"/>
  <c r="P12" i="1"/>
  <c r="Q12" i="1"/>
  <c r="S12" i="1"/>
  <c r="T12" i="1" s="1"/>
  <c r="V12" i="1"/>
  <c r="W12" i="1"/>
  <c r="G13" i="1"/>
  <c r="L13" i="1"/>
  <c r="M13" i="1"/>
  <c r="N13" i="1"/>
  <c r="O13" i="1"/>
  <c r="P13" i="1"/>
  <c r="Q13" i="1"/>
  <c r="S13" i="1"/>
  <c r="G14" i="1"/>
  <c r="L14" i="1"/>
  <c r="M14" i="1"/>
  <c r="N14" i="1"/>
  <c r="O14" i="1"/>
  <c r="P14" i="1"/>
  <c r="Q14" i="1"/>
  <c r="R14" i="1"/>
  <c r="S14" i="1"/>
  <c r="T14" i="1"/>
  <c r="U14" i="1"/>
  <c r="G15" i="1"/>
  <c r="N15" i="1" s="1"/>
  <c r="L15" i="1"/>
  <c r="M15" i="1"/>
  <c r="O15" i="1"/>
  <c r="P15" i="1"/>
  <c r="Q15" i="1"/>
  <c r="S15" i="1"/>
  <c r="T15" i="1" s="1"/>
  <c r="V15" i="1"/>
  <c r="W15" i="1"/>
  <c r="G16" i="1"/>
  <c r="N16" i="1" s="1"/>
  <c r="L16" i="1"/>
  <c r="M16" i="1"/>
  <c r="O16" i="1"/>
  <c r="P16" i="1"/>
  <c r="Q16" i="1"/>
  <c r="S16" i="1"/>
  <c r="W16" i="1" s="1"/>
  <c r="T16" i="1"/>
  <c r="U16" i="1"/>
  <c r="V16" i="1"/>
  <c r="G17" i="1"/>
  <c r="L17" i="1"/>
  <c r="M17" i="1"/>
  <c r="N17" i="1"/>
  <c r="O17" i="1"/>
  <c r="P17" i="1"/>
  <c r="Q17" i="1"/>
  <c r="S17" i="1"/>
  <c r="T17" i="1"/>
  <c r="U17" i="1"/>
  <c r="V17" i="1"/>
  <c r="W17" i="1"/>
  <c r="G18" i="1"/>
  <c r="N18" i="1" s="1"/>
  <c r="L18" i="1"/>
  <c r="R18" i="1" s="1"/>
  <c r="M18" i="1"/>
  <c r="O18" i="1"/>
  <c r="P18" i="1"/>
  <c r="Q18" i="1"/>
  <c r="S18" i="1"/>
  <c r="T18" i="1" s="1"/>
  <c r="G19" i="1"/>
  <c r="L19" i="1"/>
  <c r="R19" i="1" s="1"/>
  <c r="M19" i="1"/>
  <c r="N19" i="1"/>
  <c r="O19" i="1"/>
  <c r="P19" i="1"/>
  <c r="Q19" i="1"/>
  <c r="S19" i="1"/>
  <c r="T19" i="1" s="1"/>
  <c r="G20" i="1"/>
  <c r="L20" i="1"/>
  <c r="M20" i="1"/>
  <c r="N20" i="1"/>
  <c r="O20" i="1"/>
  <c r="P20" i="1"/>
  <c r="Q20" i="1"/>
  <c r="R20" i="1"/>
  <c r="S20" i="1"/>
  <c r="T20" i="1"/>
  <c r="U20" i="1"/>
  <c r="V20" i="1"/>
  <c r="W20" i="1"/>
  <c r="G21" i="1"/>
  <c r="N21" i="1" s="1"/>
  <c r="R21" i="1" s="1"/>
  <c r="L21" i="1"/>
  <c r="M21" i="1"/>
  <c r="O21" i="1"/>
  <c r="P21" i="1"/>
  <c r="Q21" i="1"/>
  <c r="S21" i="1"/>
  <c r="W21" i="1" s="1"/>
  <c r="T21" i="1"/>
  <c r="U21" i="1"/>
  <c r="V21" i="1"/>
  <c r="G22" i="1"/>
  <c r="N22" i="1" s="1"/>
  <c r="L22" i="1"/>
  <c r="M22" i="1"/>
  <c r="O22" i="1"/>
  <c r="P22" i="1"/>
  <c r="Q22" i="1"/>
  <c r="S22" i="1"/>
  <c r="T22" i="1"/>
  <c r="U22" i="1"/>
  <c r="V22" i="1"/>
  <c r="W22" i="1"/>
  <c r="G23" i="1"/>
  <c r="N23" i="1" s="1"/>
  <c r="L23" i="1"/>
  <c r="M23" i="1"/>
  <c r="O23" i="1"/>
  <c r="P23" i="1"/>
  <c r="Q23" i="1"/>
  <c r="S23" i="1"/>
  <c r="T23" i="1" s="1"/>
  <c r="G24" i="1"/>
  <c r="N24" i="1" s="1"/>
  <c r="L24" i="1"/>
  <c r="M24" i="1"/>
  <c r="O24" i="1"/>
  <c r="P24" i="1"/>
  <c r="Q24" i="1"/>
  <c r="R24" i="1"/>
  <c r="S24" i="1"/>
  <c r="T24" i="1"/>
  <c r="G25" i="1"/>
  <c r="L25" i="1"/>
  <c r="M25" i="1"/>
  <c r="N25" i="1"/>
  <c r="R25" i="1" s="1"/>
  <c r="O25" i="1"/>
  <c r="P25" i="1"/>
  <c r="Q25" i="1"/>
  <c r="S25" i="1"/>
  <c r="U25" i="1" s="1"/>
  <c r="T25" i="1"/>
  <c r="W25" i="1"/>
  <c r="G26" i="1"/>
  <c r="N26" i="1" s="1"/>
  <c r="L26" i="1"/>
  <c r="M26" i="1"/>
  <c r="O26" i="1"/>
  <c r="P26" i="1"/>
  <c r="Q26" i="1"/>
  <c r="R26" i="1"/>
  <c r="S26" i="1"/>
  <c r="W26" i="1" s="1"/>
  <c r="T26" i="1"/>
  <c r="U26" i="1"/>
  <c r="V26" i="1"/>
  <c r="G27" i="1"/>
  <c r="N27" i="1" s="1"/>
  <c r="L27" i="1"/>
  <c r="M27" i="1"/>
  <c r="O27" i="1"/>
  <c r="P27" i="1"/>
  <c r="Q27" i="1"/>
  <c r="S27" i="1"/>
  <c r="T27" i="1"/>
  <c r="U27" i="1"/>
  <c r="V27" i="1"/>
  <c r="W27" i="1"/>
  <c r="G28" i="1"/>
  <c r="L28" i="1"/>
  <c r="M28" i="1"/>
  <c r="N28" i="1"/>
  <c r="O28" i="1"/>
  <c r="P28" i="1"/>
  <c r="Q28" i="1"/>
  <c r="S28" i="1"/>
  <c r="T28" i="1" s="1"/>
  <c r="V28" i="1"/>
  <c r="W28" i="1"/>
  <c r="G29" i="1"/>
  <c r="N29" i="1" s="1"/>
  <c r="L29" i="1"/>
  <c r="M29" i="1"/>
  <c r="O29" i="1"/>
  <c r="P29" i="1"/>
  <c r="Q29" i="1"/>
  <c r="R29" i="1"/>
  <c r="S29" i="1"/>
  <c r="G30" i="1"/>
  <c r="L30" i="1"/>
  <c r="M30" i="1"/>
  <c r="N30" i="1"/>
  <c r="O30" i="1"/>
  <c r="P30" i="1"/>
  <c r="Q30" i="1"/>
  <c r="R30" i="1"/>
  <c r="S30" i="1"/>
  <c r="G31" i="1"/>
  <c r="N31" i="1" s="1"/>
  <c r="R31" i="1" s="1"/>
  <c r="L31" i="1"/>
  <c r="M31" i="1"/>
  <c r="O31" i="1"/>
  <c r="P31" i="1"/>
  <c r="Q31" i="1"/>
  <c r="S31" i="1"/>
  <c r="T31" i="1"/>
  <c r="U31" i="1"/>
  <c r="V31" i="1"/>
  <c r="W31" i="1"/>
  <c r="G32" i="1"/>
  <c r="N32" i="1" s="1"/>
  <c r="L32" i="1"/>
  <c r="M32" i="1"/>
  <c r="O32" i="1"/>
  <c r="P32" i="1"/>
  <c r="Q32" i="1"/>
  <c r="S32" i="1"/>
  <c r="T32" i="1"/>
  <c r="G33" i="1"/>
  <c r="L33" i="1"/>
  <c r="M33" i="1"/>
  <c r="N33" i="1"/>
  <c r="O33" i="1"/>
  <c r="P33" i="1"/>
  <c r="Q33" i="1"/>
  <c r="S33" i="1"/>
  <c r="T33" i="1"/>
  <c r="U33" i="1"/>
  <c r="V33" i="1"/>
  <c r="W33" i="1"/>
  <c r="G34" i="1"/>
  <c r="N34" i="1" s="1"/>
  <c r="L34" i="1"/>
  <c r="M34" i="1"/>
  <c r="O34" i="1"/>
  <c r="P34" i="1"/>
  <c r="Q34" i="1"/>
  <c r="R34" i="1"/>
  <c r="S34" i="1"/>
  <c r="G35" i="1"/>
  <c r="L35" i="1"/>
  <c r="M35" i="1"/>
  <c r="N35" i="1"/>
  <c r="O35" i="1"/>
  <c r="P35" i="1"/>
  <c r="Q35" i="1"/>
  <c r="S35" i="1"/>
  <c r="W35" i="1" s="1"/>
  <c r="T35" i="1"/>
  <c r="G36" i="1"/>
  <c r="L36" i="1"/>
  <c r="M36" i="1"/>
  <c r="N36" i="1"/>
  <c r="O36" i="1"/>
  <c r="R36" i="1" s="1"/>
  <c r="P36" i="1"/>
  <c r="Q36" i="1"/>
  <c r="S36" i="1"/>
  <c r="W36" i="1" s="1"/>
  <c r="T36" i="1"/>
  <c r="U36" i="1"/>
  <c r="V36" i="1"/>
  <c r="G37" i="1"/>
  <c r="N37" i="1" s="1"/>
  <c r="L37" i="1"/>
  <c r="M37" i="1"/>
  <c r="O37" i="1"/>
  <c r="P37" i="1"/>
  <c r="Q37" i="1"/>
  <c r="R37" i="1"/>
  <c r="S37" i="1"/>
  <c r="G38" i="1"/>
  <c r="N38" i="1" s="1"/>
  <c r="L38" i="1"/>
  <c r="M38" i="1"/>
  <c r="O38" i="1"/>
  <c r="P38" i="1"/>
  <c r="Q38" i="1"/>
  <c r="S38" i="1"/>
  <c r="T38" i="1"/>
  <c r="U38" i="1"/>
  <c r="V38" i="1"/>
  <c r="W38" i="1"/>
  <c r="G39" i="1"/>
  <c r="L39" i="1"/>
  <c r="M39" i="1"/>
  <c r="N39" i="1"/>
  <c r="O39" i="1"/>
  <c r="P39" i="1"/>
  <c r="Q39" i="1"/>
  <c r="S39" i="1"/>
  <c r="T39" i="1" s="1"/>
  <c r="G40" i="1"/>
  <c r="L40" i="1"/>
  <c r="M40" i="1"/>
  <c r="N40" i="1"/>
  <c r="O40" i="1"/>
  <c r="P40" i="1"/>
  <c r="Q40" i="1"/>
  <c r="S40" i="1"/>
  <c r="T40" i="1" s="1"/>
  <c r="G41" i="1"/>
  <c r="L41" i="1"/>
  <c r="M41" i="1"/>
  <c r="N41" i="1"/>
  <c r="O41" i="1"/>
  <c r="R41" i="1" s="1"/>
  <c r="P41" i="1"/>
  <c r="Q41" i="1"/>
  <c r="S41" i="1"/>
  <c r="W41" i="1" s="1"/>
  <c r="T41" i="1"/>
  <c r="U41" i="1"/>
  <c r="V41" i="1"/>
  <c r="G42" i="1"/>
  <c r="N42" i="1" s="1"/>
  <c r="R42" i="1" s="1"/>
  <c r="L42" i="1"/>
  <c r="M42" i="1"/>
  <c r="O42" i="1"/>
  <c r="P42" i="1"/>
  <c r="Q42" i="1"/>
  <c r="S42" i="1"/>
  <c r="T42" i="1" s="1"/>
  <c r="W42" i="1"/>
  <c r="G43" i="1"/>
  <c r="N43" i="1" s="1"/>
  <c r="L43" i="1"/>
  <c r="R43" i="1" s="1"/>
  <c r="M43" i="1"/>
  <c r="O43" i="1"/>
  <c r="P43" i="1"/>
  <c r="Q43" i="1"/>
  <c r="S43" i="1"/>
  <c r="T43" i="1"/>
  <c r="U43" i="1"/>
  <c r="V43" i="1"/>
  <c r="W43" i="1"/>
  <c r="G44" i="1"/>
  <c r="L44" i="1"/>
  <c r="M44" i="1"/>
  <c r="N44" i="1"/>
  <c r="O44" i="1"/>
  <c r="P44" i="1"/>
  <c r="Q44" i="1"/>
  <c r="S44" i="1"/>
  <c r="T44" i="1" s="1"/>
  <c r="V44" i="1"/>
  <c r="W44" i="1"/>
  <c r="G45" i="1"/>
  <c r="L45" i="1"/>
  <c r="M45" i="1"/>
  <c r="N45" i="1"/>
  <c r="O45" i="1"/>
  <c r="P45" i="1"/>
  <c r="Q45" i="1"/>
  <c r="S45" i="1"/>
  <c r="T45" i="1"/>
  <c r="U45" i="1"/>
  <c r="G46" i="1"/>
  <c r="L46" i="1"/>
  <c r="M46" i="1"/>
  <c r="N46" i="1"/>
  <c r="O46" i="1"/>
  <c r="P46" i="1"/>
  <c r="Q46" i="1"/>
  <c r="R46" i="1"/>
  <c r="S46" i="1"/>
  <c r="G47" i="1"/>
  <c r="N47" i="1" s="1"/>
  <c r="L47" i="1"/>
  <c r="M47" i="1"/>
  <c r="O47" i="1"/>
  <c r="P47" i="1"/>
  <c r="Q47" i="1"/>
  <c r="R47" i="1"/>
  <c r="S47" i="1"/>
  <c r="G48" i="1"/>
  <c r="N48" i="1" s="1"/>
  <c r="L48" i="1"/>
  <c r="M48" i="1"/>
  <c r="O48" i="1"/>
  <c r="P48" i="1"/>
  <c r="Q48" i="1"/>
  <c r="S48" i="1"/>
  <c r="U48" i="1" s="1"/>
  <c r="T48" i="1"/>
  <c r="V48" i="1"/>
  <c r="W48" i="1"/>
  <c r="G49" i="1"/>
  <c r="L49" i="1"/>
  <c r="R49" i="1" s="1"/>
  <c r="M49" i="1"/>
  <c r="N49" i="1"/>
  <c r="O49" i="1"/>
  <c r="P49" i="1"/>
  <c r="Q49" i="1"/>
  <c r="S49" i="1"/>
  <c r="T49" i="1"/>
  <c r="U49" i="1"/>
  <c r="V49" i="1"/>
  <c r="W49" i="1"/>
  <c r="G50" i="1"/>
  <c r="L50" i="1"/>
  <c r="M50" i="1"/>
  <c r="N50" i="1"/>
  <c r="O50" i="1"/>
  <c r="P50" i="1"/>
  <c r="Q50" i="1"/>
  <c r="S50" i="1"/>
  <c r="T50" i="1"/>
  <c r="G51" i="1"/>
  <c r="L51" i="1"/>
  <c r="M51" i="1"/>
  <c r="N51" i="1"/>
  <c r="O51" i="1"/>
  <c r="P51" i="1"/>
  <c r="Q51" i="1"/>
  <c r="S51" i="1"/>
  <c r="U51" i="1" s="1"/>
  <c r="T51" i="1"/>
  <c r="V51" i="1"/>
  <c r="W51" i="1"/>
  <c r="G52" i="1"/>
  <c r="L52" i="1"/>
  <c r="M52" i="1"/>
  <c r="N52" i="1"/>
  <c r="O52" i="1"/>
  <c r="P52" i="1"/>
  <c r="Q52" i="1"/>
  <c r="R52" i="1"/>
  <c r="S52" i="1"/>
  <c r="T52" i="1"/>
  <c r="V52" i="1"/>
  <c r="G53" i="1"/>
  <c r="N53" i="1" s="1"/>
  <c r="L53" i="1"/>
  <c r="M53" i="1"/>
  <c r="O53" i="1"/>
  <c r="P53" i="1"/>
  <c r="Q53" i="1"/>
  <c r="S53" i="1"/>
  <c r="T53" i="1"/>
  <c r="U53" i="1"/>
  <c r="V53" i="1"/>
  <c r="W53" i="1"/>
  <c r="G54" i="1"/>
  <c r="L54" i="1"/>
  <c r="M54" i="1"/>
  <c r="N54" i="1"/>
  <c r="O54" i="1"/>
  <c r="P54" i="1"/>
  <c r="Q54" i="1"/>
  <c r="S54" i="1"/>
  <c r="T54" i="1"/>
  <c r="U54" i="1"/>
  <c r="V54" i="1"/>
  <c r="W54" i="1"/>
  <c r="G55" i="1"/>
  <c r="L55" i="1"/>
  <c r="M55" i="1"/>
  <c r="N55" i="1"/>
  <c r="O55" i="1"/>
  <c r="P55" i="1"/>
  <c r="Q55" i="1"/>
  <c r="R55" i="1"/>
  <c r="S55" i="1"/>
  <c r="G56" i="1"/>
  <c r="N56" i="1" s="1"/>
  <c r="L56" i="1"/>
  <c r="M56" i="1"/>
  <c r="O56" i="1"/>
  <c r="P56" i="1"/>
  <c r="Q56" i="1"/>
  <c r="S56" i="1"/>
  <c r="W56" i="1" s="1"/>
  <c r="T56" i="1"/>
  <c r="U56" i="1"/>
  <c r="G57" i="1"/>
  <c r="L57" i="1"/>
  <c r="M57" i="1"/>
  <c r="N57" i="1"/>
  <c r="R57" i="1" s="1"/>
  <c r="O57" i="1"/>
  <c r="P57" i="1"/>
  <c r="Q57" i="1"/>
  <c r="S57" i="1"/>
  <c r="T57" i="1" s="1"/>
  <c r="V57" i="1"/>
  <c r="W57" i="1"/>
  <c r="G58" i="1"/>
  <c r="N58" i="1" s="1"/>
  <c r="L58" i="1"/>
  <c r="R58" i="1" s="1"/>
  <c r="M58" i="1"/>
  <c r="O58" i="1"/>
  <c r="P58" i="1"/>
  <c r="Q58" i="1"/>
  <c r="S58" i="1"/>
  <c r="T58" i="1"/>
  <c r="U58" i="1"/>
  <c r="G59" i="1"/>
  <c r="L59" i="1"/>
  <c r="M59" i="1"/>
  <c r="N59" i="1"/>
  <c r="O59" i="1"/>
  <c r="P59" i="1"/>
  <c r="Q59" i="1"/>
  <c r="S59" i="1"/>
  <c r="T59" i="1"/>
  <c r="U59" i="1"/>
  <c r="V59" i="1"/>
  <c r="W59" i="1"/>
  <c r="G60" i="1"/>
  <c r="N60" i="1" s="1"/>
  <c r="L60" i="1"/>
  <c r="R60" i="1" s="1"/>
  <c r="M60" i="1"/>
  <c r="O60" i="1"/>
  <c r="P60" i="1"/>
  <c r="Q60" i="1"/>
  <c r="S60" i="1"/>
  <c r="T60" i="1" s="1"/>
  <c r="V60" i="1"/>
  <c r="W60" i="1"/>
  <c r="G61" i="1"/>
  <c r="L61" i="1"/>
  <c r="R61" i="1" s="1"/>
  <c r="M61" i="1"/>
  <c r="N61" i="1"/>
  <c r="O61" i="1"/>
  <c r="P61" i="1"/>
  <c r="Q61" i="1"/>
  <c r="S61" i="1"/>
  <c r="T61" i="1" s="1"/>
  <c r="G62" i="1"/>
  <c r="L62" i="1"/>
  <c r="M62" i="1"/>
  <c r="N62" i="1"/>
  <c r="R62" i="1" s="1"/>
  <c r="O62" i="1"/>
  <c r="P62" i="1"/>
  <c r="Q62" i="1"/>
  <c r="S62" i="1"/>
  <c r="W62" i="1" s="1"/>
  <c r="T62" i="1"/>
  <c r="U62" i="1"/>
  <c r="V62" i="1"/>
  <c r="G63" i="1"/>
  <c r="N63" i="1" s="1"/>
  <c r="L63" i="1"/>
  <c r="M63" i="1"/>
  <c r="O63" i="1"/>
  <c r="P63" i="1"/>
  <c r="Q63" i="1"/>
  <c r="R63" i="1" s="1"/>
  <c r="S63" i="1"/>
  <c r="G64" i="1"/>
  <c r="N64" i="1" s="1"/>
  <c r="L64" i="1"/>
  <c r="M64" i="1"/>
  <c r="O64" i="1"/>
  <c r="P64" i="1"/>
  <c r="Q64" i="1"/>
  <c r="S64" i="1"/>
  <c r="T64" i="1"/>
  <c r="U64" i="1"/>
  <c r="V64" i="1"/>
  <c r="W64" i="1"/>
  <c r="G65" i="1"/>
  <c r="L65" i="1"/>
  <c r="M65" i="1"/>
  <c r="N65" i="1"/>
  <c r="O65" i="1"/>
  <c r="P65" i="1"/>
  <c r="Q65" i="1"/>
  <c r="S65" i="1"/>
  <c r="T65" i="1"/>
  <c r="U65" i="1"/>
  <c r="V65" i="1"/>
  <c r="W65" i="1"/>
  <c r="G66" i="1"/>
  <c r="L66" i="1"/>
  <c r="M66" i="1"/>
  <c r="N66" i="1"/>
  <c r="O66" i="1"/>
  <c r="P66" i="1"/>
  <c r="Q66" i="1"/>
  <c r="S66" i="1"/>
  <c r="T66" i="1"/>
  <c r="G67" i="1"/>
  <c r="L67" i="1"/>
  <c r="M67" i="1"/>
  <c r="N67" i="1"/>
  <c r="O67" i="1"/>
  <c r="P67" i="1"/>
  <c r="Q67" i="1"/>
  <c r="R67" i="1" s="1"/>
  <c r="S67" i="1"/>
  <c r="U67" i="1" s="1"/>
  <c r="T67" i="1"/>
  <c r="V67" i="1"/>
  <c r="W67" i="1"/>
  <c r="G68" i="1"/>
  <c r="L68" i="1"/>
  <c r="M68" i="1"/>
  <c r="N68" i="1"/>
  <c r="O68" i="1"/>
  <c r="R68" i="1" s="1"/>
  <c r="P68" i="1"/>
  <c r="Q68" i="1"/>
  <c r="S68" i="1"/>
  <c r="T68" i="1"/>
  <c r="U68" i="1"/>
  <c r="V68" i="1"/>
  <c r="W68" i="1"/>
  <c r="G69" i="1"/>
  <c r="N69" i="1" s="1"/>
  <c r="L69" i="1"/>
  <c r="R69" i="1" s="1"/>
  <c r="M69" i="1"/>
  <c r="O69" i="1"/>
  <c r="P69" i="1"/>
  <c r="Q69" i="1"/>
  <c r="S69" i="1"/>
  <c r="U69" i="1" s="1"/>
  <c r="T69" i="1"/>
  <c r="W69" i="1"/>
  <c r="G70" i="1"/>
  <c r="N70" i="1" s="1"/>
  <c r="L70" i="1"/>
  <c r="R70" i="1" s="1"/>
  <c r="M70" i="1"/>
  <c r="O70" i="1"/>
  <c r="P70" i="1"/>
  <c r="Q70" i="1"/>
  <c r="S70" i="1"/>
  <c r="T70" i="1"/>
  <c r="U70" i="1"/>
  <c r="V70" i="1"/>
  <c r="W70" i="1"/>
  <c r="G71" i="1"/>
  <c r="L71" i="1"/>
  <c r="M71" i="1"/>
  <c r="N71" i="1"/>
  <c r="O71" i="1"/>
  <c r="R71" i="1" s="1"/>
  <c r="P71" i="1"/>
  <c r="Q71" i="1"/>
  <c r="S71" i="1"/>
  <c r="G72" i="1"/>
  <c r="L72" i="1"/>
  <c r="M72" i="1"/>
  <c r="N72" i="1"/>
  <c r="O72" i="1"/>
  <c r="P72" i="1"/>
  <c r="Q72" i="1"/>
  <c r="S72" i="1"/>
  <c r="W72" i="1" s="1"/>
  <c r="U72" i="1"/>
  <c r="V72" i="1"/>
  <c r="G73" i="1"/>
  <c r="L73" i="1"/>
  <c r="M73" i="1"/>
  <c r="N73" i="1"/>
  <c r="O73" i="1"/>
  <c r="R73" i="1" s="1"/>
  <c r="P73" i="1"/>
  <c r="Q73" i="1"/>
  <c r="S73" i="1"/>
  <c r="T73" i="1"/>
  <c r="G74" i="1"/>
  <c r="N74" i="1" s="1"/>
  <c r="L74" i="1"/>
  <c r="M74" i="1"/>
  <c r="O74" i="1"/>
  <c r="P74" i="1"/>
  <c r="Q74" i="1"/>
  <c r="S74" i="1"/>
  <c r="V74" i="1"/>
  <c r="W74" i="1"/>
  <c r="G75" i="1"/>
  <c r="N75" i="1" s="1"/>
  <c r="L75" i="1"/>
  <c r="M75" i="1"/>
  <c r="O75" i="1"/>
  <c r="P75" i="1"/>
  <c r="Q75" i="1"/>
  <c r="S75" i="1"/>
  <c r="T75" i="1"/>
  <c r="U75" i="1"/>
  <c r="V75" i="1"/>
  <c r="W75" i="1"/>
  <c r="G76" i="1"/>
  <c r="L76" i="1"/>
  <c r="M76" i="1"/>
  <c r="N76" i="1"/>
  <c r="O76" i="1"/>
  <c r="P76" i="1"/>
  <c r="Q76" i="1"/>
  <c r="S76" i="1"/>
  <c r="T76" i="1" s="1"/>
  <c r="V76" i="1"/>
  <c r="W76" i="1"/>
  <c r="G77" i="1"/>
  <c r="N77" i="1" s="1"/>
  <c r="L77" i="1"/>
  <c r="R77" i="1" s="1"/>
  <c r="M77" i="1"/>
  <c r="O77" i="1"/>
  <c r="P77" i="1"/>
  <c r="Q77" i="1"/>
  <c r="S77" i="1"/>
  <c r="G78" i="1"/>
  <c r="L78" i="1"/>
  <c r="M78" i="1"/>
  <c r="N78" i="1"/>
  <c r="O78" i="1"/>
  <c r="P78" i="1"/>
  <c r="Q78" i="1"/>
  <c r="R78" i="1"/>
  <c r="S78" i="1"/>
  <c r="T78" i="1"/>
  <c r="U78" i="1"/>
  <c r="V78" i="1"/>
  <c r="W78" i="1"/>
  <c r="G79" i="1"/>
  <c r="N79" i="1" s="1"/>
  <c r="R79" i="1" s="1"/>
  <c r="L79" i="1"/>
  <c r="M79" i="1"/>
  <c r="O79" i="1"/>
  <c r="P79" i="1"/>
  <c r="Q79" i="1"/>
  <c r="S79" i="1"/>
  <c r="W79" i="1" s="1"/>
  <c r="V79" i="1"/>
  <c r="G80" i="1"/>
  <c r="L80" i="1"/>
  <c r="R80" i="1" s="1"/>
  <c r="M80" i="1"/>
  <c r="N80" i="1"/>
  <c r="O80" i="1"/>
  <c r="P80" i="1"/>
  <c r="Q80" i="1"/>
  <c r="S80" i="1"/>
  <c r="T80" i="1" s="1"/>
  <c r="V80" i="1"/>
  <c r="W80" i="1"/>
  <c r="G81" i="1"/>
  <c r="N81" i="1" s="1"/>
  <c r="L81" i="1"/>
  <c r="M81" i="1"/>
  <c r="O81" i="1"/>
  <c r="P81" i="1"/>
  <c r="Q81" i="1"/>
  <c r="S81" i="1"/>
  <c r="T81" i="1"/>
  <c r="U81" i="1"/>
  <c r="V81" i="1"/>
  <c r="W81" i="1"/>
  <c r="G82" i="1"/>
  <c r="L82" i="1"/>
  <c r="M82" i="1"/>
  <c r="N82" i="1"/>
  <c r="O82" i="1"/>
  <c r="P82" i="1"/>
  <c r="Q82" i="1"/>
  <c r="S82" i="1"/>
  <c r="T82" i="1" s="1"/>
  <c r="G83" i="1"/>
  <c r="L83" i="1"/>
  <c r="M83" i="1"/>
  <c r="N83" i="1"/>
  <c r="O83" i="1"/>
  <c r="P83" i="1"/>
  <c r="Q83" i="1"/>
  <c r="S83" i="1"/>
  <c r="T83" i="1"/>
  <c r="U83" i="1"/>
  <c r="V83" i="1"/>
  <c r="W83" i="1"/>
  <c r="G84" i="1"/>
  <c r="L84" i="1"/>
  <c r="M84" i="1"/>
  <c r="N84" i="1"/>
  <c r="O84" i="1"/>
  <c r="P84" i="1"/>
  <c r="Q84" i="1"/>
  <c r="S84" i="1"/>
  <c r="T84" i="1" s="1"/>
  <c r="V84" i="1"/>
  <c r="W84" i="1"/>
  <c r="G85" i="1"/>
  <c r="N85" i="1" s="1"/>
  <c r="L85" i="1"/>
  <c r="M85" i="1"/>
  <c r="O85" i="1"/>
  <c r="P85" i="1"/>
  <c r="Q85" i="1"/>
  <c r="S85" i="1"/>
  <c r="G86" i="1"/>
  <c r="L86" i="1"/>
  <c r="M86" i="1"/>
  <c r="N86" i="1"/>
  <c r="O86" i="1"/>
  <c r="P86" i="1"/>
  <c r="Q86" i="1"/>
  <c r="S86" i="1"/>
  <c r="T86" i="1"/>
  <c r="U86" i="1"/>
  <c r="V86" i="1"/>
  <c r="W86" i="1"/>
  <c r="G87" i="1"/>
  <c r="N87" i="1" s="1"/>
  <c r="L87" i="1"/>
  <c r="R87" i="1" s="1"/>
  <c r="M87" i="1"/>
  <c r="O87" i="1"/>
  <c r="P87" i="1"/>
  <c r="Q87" i="1"/>
  <c r="S87" i="1"/>
  <c r="G88" i="1"/>
  <c r="N88" i="1" s="1"/>
  <c r="L88" i="1"/>
  <c r="R88" i="1" s="1"/>
  <c r="M88" i="1"/>
  <c r="O88" i="1"/>
  <c r="P88" i="1"/>
  <c r="Q88" i="1"/>
  <c r="S88" i="1"/>
  <c r="G89" i="1"/>
  <c r="L89" i="1"/>
  <c r="M89" i="1"/>
  <c r="N89" i="1"/>
  <c r="O89" i="1"/>
  <c r="P89" i="1"/>
  <c r="Q89" i="1"/>
  <c r="R89" i="1"/>
  <c r="S89" i="1"/>
  <c r="U89" i="1"/>
  <c r="W89" i="1"/>
  <c r="G90" i="1"/>
  <c r="N90" i="1" s="1"/>
  <c r="L90" i="1"/>
  <c r="M90" i="1"/>
  <c r="O90" i="1"/>
  <c r="P90" i="1"/>
  <c r="Q90" i="1"/>
  <c r="R90" i="1"/>
  <c r="S90" i="1"/>
  <c r="U90" i="1" s="1"/>
  <c r="V90" i="1"/>
  <c r="W90" i="1"/>
  <c r="G91" i="1"/>
  <c r="L91" i="1"/>
  <c r="R91" i="1" s="1"/>
  <c r="M91" i="1"/>
  <c r="N91" i="1"/>
  <c r="O91" i="1"/>
  <c r="P91" i="1"/>
  <c r="Q91" i="1"/>
  <c r="S91" i="1"/>
  <c r="T91" i="1"/>
  <c r="U91" i="1"/>
  <c r="V91" i="1"/>
  <c r="W91" i="1"/>
  <c r="G92" i="1"/>
  <c r="L92" i="1"/>
  <c r="M92" i="1"/>
  <c r="N92" i="1"/>
  <c r="O92" i="1"/>
  <c r="P92" i="1"/>
  <c r="Q92" i="1"/>
  <c r="S92" i="1"/>
  <c r="T92" i="1" s="1"/>
  <c r="V92" i="1"/>
  <c r="W92" i="1"/>
  <c r="G93" i="1"/>
  <c r="L93" i="1"/>
  <c r="M93" i="1"/>
  <c r="R93" i="1" s="1"/>
  <c r="N93" i="1"/>
  <c r="O93" i="1"/>
  <c r="P93" i="1"/>
  <c r="Q93" i="1"/>
  <c r="S93" i="1"/>
  <c r="U93" i="1"/>
  <c r="G94" i="1"/>
  <c r="L94" i="1"/>
  <c r="M94" i="1"/>
  <c r="N94" i="1"/>
  <c r="O94" i="1"/>
  <c r="P94" i="1"/>
  <c r="Q94" i="1"/>
  <c r="R94" i="1"/>
  <c r="S94" i="1"/>
  <c r="G95" i="1"/>
  <c r="N95" i="1" s="1"/>
  <c r="L95" i="1"/>
  <c r="M95" i="1"/>
  <c r="O95" i="1"/>
  <c r="P95" i="1"/>
  <c r="Q95" i="1"/>
  <c r="S95" i="1"/>
  <c r="T95" i="1" s="1"/>
  <c r="U95" i="1"/>
  <c r="V95" i="1"/>
  <c r="W95" i="1"/>
  <c r="G96" i="1"/>
  <c r="N96" i="1" s="1"/>
  <c r="L96" i="1"/>
  <c r="R96" i="1" s="1"/>
  <c r="M96" i="1"/>
  <c r="O96" i="1"/>
  <c r="P96" i="1"/>
  <c r="Q96" i="1"/>
  <c r="S96" i="1"/>
  <c r="T96" i="1"/>
  <c r="G97" i="1"/>
  <c r="L97" i="1"/>
  <c r="M97" i="1"/>
  <c r="N97" i="1"/>
  <c r="O97" i="1"/>
  <c r="P97" i="1"/>
  <c r="Q97" i="1"/>
  <c r="S97" i="1"/>
  <c r="T97" i="1" s="1"/>
  <c r="U97" i="1"/>
  <c r="V97" i="1"/>
  <c r="W97" i="1"/>
  <c r="G98" i="1"/>
  <c r="N98" i="1" s="1"/>
  <c r="L98" i="1"/>
  <c r="M98" i="1"/>
  <c r="O98" i="1"/>
  <c r="P98" i="1"/>
  <c r="Q98" i="1"/>
  <c r="R98" i="1"/>
  <c r="S98" i="1"/>
  <c r="G99" i="1"/>
  <c r="L99" i="1"/>
  <c r="M99" i="1"/>
  <c r="N99" i="1"/>
  <c r="O99" i="1"/>
  <c r="P99" i="1"/>
  <c r="Q99" i="1"/>
  <c r="S99" i="1"/>
  <c r="U99" i="1" s="1"/>
  <c r="T99" i="1"/>
  <c r="W99" i="1"/>
  <c r="G100" i="1"/>
  <c r="L100" i="1"/>
  <c r="M100" i="1"/>
  <c r="N100" i="1"/>
  <c r="O100" i="1"/>
  <c r="P100" i="1"/>
  <c r="Q100" i="1"/>
  <c r="S100" i="1"/>
  <c r="U100" i="1" s="1"/>
  <c r="T100" i="1"/>
  <c r="G101" i="1"/>
  <c r="N101" i="1" s="1"/>
  <c r="L101" i="1"/>
  <c r="M101" i="1"/>
  <c r="O101" i="1"/>
  <c r="P101" i="1"/>
  <c r="Q101" i="1"/>
  <c r="R101" i="1"/>
  <c r="S101" i="1"/>
  <c r="T101" i="1"/>
  <c r="U101" i="1"/>
  <c r="V101" i="1"/>
  <c r="W101" i="1"/>
  <c r="G102" i="1"/>
  <c r="N102" i="1" s="1"/>
  <c r="L102" i="1"/>
  <c r="R102" i="1" s="1"/>
  <c r="M102" i="1"/>
  <c r="O102" i="1"/>
  <c r="P102" i="1"/>
  <c r="Q102" i="1"/>
  <c r="S102" i="1"/>
  <c r="T102" i="1"/>
  <c r="U102" i="1"/>
  <c r="V102" i="1"/>
  <c r="W102" i="1"/>
  <c r="G103" i="1"/>
  <c r="N103" i="1" s="1"/>
  <c r="L103" i="1"/>
  <c r="M103" i="1"/>
  <c r="O103" i="1"/>
  <c r="P103" i="1"/>
  <c r="Q103" i="1"/>
  <c r="S103" i="1"/>
  <c r="G104" i="1"/>
  <c r="L104" i="1"/>
  <c r="M104" i="1"/>
  <c r="N104" i="1"/>
  <c r="O104" i="1"/>
  <c r="P104" i="1"/>
  <c r="Q104" i="1"/>
  <c r="R104" i="1"/>
  <c r="S104" i="1"/>
  <c r="U104" i="1"/>
  <c r="V104" i="1"/>
  <c r="G105" i="1"/>
  <c r="L105" i="1"/>
  <c r="M105" i="1"/>
  <c r="N105" i="1"/>
  <c r="O105" i="1"/>
  <c r="P105" i="1"/>
  <c r="Q105" i="1"/>
  <c r="R105" i="1" s="1"/>
  <c r="S105" i="1"/>
  <c r="U105" i="1" s="1"/>
  <c r="W105" i="1"/>
  <c r="G106" i="1"/>
  <c r="N106" i="1" s="1"/>
  <c r="L106" i="1"/>
  <c r="R106" i="1" s="1"/>
  <c r="M106" i="1"/>
  <c r="O106" i="1"/>
  <c r="P106" i="1"/>
  <c r="Q106" i="1"/>
  <c r="S106" i="1"/>
  <c r="T106" i="1"/>
  <c r="U106" i="1"/>
  <c r="V106" i="1"/>
  <c r="W106" i="1"/>
  <c r="G107" i="1"/>
  <c r="N107" i="1" s="1"/>
  <c r="L107" i="1"/>
  <c r="M107" i="1"/>
  <c r="O107" i="1"/>
  <c r="P107" i="1"/>
  <c r="Q107" i="1"/>
  <c r="S107" i="1"/>
  <c r="T107" i="1"/>
  <c r="U107" i="1"/>
  <c r="V107" i="1"/>
  <c r="W107" i="1"/>
  <c r="G108" i="1"/>
  <c r="L108" i="1"/>
  <c r="M108" i="1"/>
  <c r="N108" i="1"/>
  <c r="O108" i="1"/>
  <c r="P108" i="1"/>
  <c r="Q108" i="1"/>
  <c r="S108" i="1"/>
  <c r="U108" i="1" s="1"/>
  <c r="T108" i="1"/>
  <c r="V108" i="1"/>
  <c r="W108" i="1"/>
  <c r="G109" i="1"/>
  <c r="N109" i="1" s="1"/>
  <c r="R109" i="1" s="1"/>
  <c r="L109" i="1"/>
  <c r="M109" i="1"/>
  <c r="O109" i="1"/>
  <c r="P109" i="1"/>
  <c r="Q109" i="1"/>
  <c r="S109" i="1"/>
  <c r="G110" i="1"/>
  <c r="L110" i="1"/>
  <c r="M110" i="1"/>
  <c r="N110" i="1"/>
  <c r="O110" i="1"/>
  <c r="P110" i="1"/>
  <c r="Q110" i="1"/>
  <c r="S110" i="1"/>
  <c r="T110" i="1"/>
  <c r="U110" i="1"/>
  <c r="V110" i="1"/>
  <c r="W110" i="1"/>
  <c r="G111" i="1"/>
  <c r="N111" i="1" s="1"/>
  <c r="R111" i="1" s="1"/>
  <c r="L111" i="1"/>
  <c r="M111" i="1"/>
  <c r="O111" i="1"/>
  <c r="P111" i="1"/>
  <c r="Q111" i="1"/>
  <c r="S111" i="1"/>
  <c r="G112" i="1"/>
  <c r="L112" i="1"/>
  <c r="M112" i="1"/>
  <c r="N112" i="1"/>
  <c r="O112" i="1"/>
  <c r="P112" i="1"/>
  <c r="Q112" i="1"/>
  <c r="S112" i="1"/>
  <c r="T112" i="1" s="1"/>
  <c r="U112" i="1"/>
  <c r="V112" i="1"/>
  <c r="W112" i="1"/>
  <c r="G113" i="1"/>
  <c r="N113" i="1" s="1"/>
  <c r="L113" i="1"/>
  <c r="M113" i="1"/>
  <c r="O113" i="1"/>
  <c r="P113" i="1"/>
  <c r="Q113" i="1"/>
  <c r="S113" i="1"/>
  <c r="T113" i="1" s="1"/>
  <c r="U113" i="1"/>
  <c r="V113" i="1"/>
  <c r="W113" i="1"/>
  <c r="G114" i="1"/>
  <c r="L114" i="1"/>
  <c r="M114" i="1"/>
  <c r="N114" i="1"/>
  <c r="O114" i="1"/>
  <c r="P114" i="1"/>
  <c r="Q114" i="1"/>
  <c r="S114" i="1"/>
  <c r="T114" i="1"/>
  <c r="G115" i="1"/>
  <c r="L115" i="1"/>
  <c r="M115" i="1"/>
  <c r="N115" i="1"/>
  <c r="O115" i="1"/>
  <c r="P115" i="1"/>
  <c r="Q115" i="1"/>
  <c r="S115" i="1"/>
  <c r="T115" i="1"/>
  <c r="G116" i="1"/>
  <c r="L116" i="1"/>
  <c r="M116" i="1"/>
  <c r="N116" i="1"/>
  <c r="O116" i="1"/>
  <c r="R116" i="1" s="1"/>
  <c r="P116" i="1"/>
  <c r="Q116" i="1"/>
  <c r="S116" i="1"/>
  <c r="U116" i="1" s="1"/>
  <c r="T116" i="1"/>
  <c r="V116" i="1"/>
  <c r="W116" i="1"/>
  <c r="G117" i="1"/>
  <c r="N117" i="1" s="1"/>
  <c r="L117" i="1"/>
  <c r="M117" i="1"/>
  <c r="O117" i="1"/>
  <c r="P117" i="1"/>
  <c r="Q117" i="1"/>
  <c r="R117" i="1"/>
  <c r="S117" i="1"/>
  <c r="G118" i="1"/>
  <c r="L118" i="1"/>
  <c r="M118" i="1"/>
  <c r="N118" i="1"/>
  <c r="O118" i="1"/>
  <c r="P118" i="1"/>
  <c r="Q118" i="1"/>
  <c r="S118" i="1"/>
  <c r="T118" i="1"/>
  <c r="U118" i="1"/>
  <c r="V118" i="1"/>
  <c r="W118" i="1"/>
  <c r="G119" i="1"/>
  <c r="N119" i="1" s="1"/>
  <c r="R119" i="1" s="1"/>
  <c r="L119" i="1"/>
  <c r="M119" i="1"/>
  <c r="O119" i="1"/>
  <c r="P119" i="1"/>
  <c r="Q119" i="1"/>
  <c r="S119" i="1"/>
  <c r="G120" i="1"/>
  <c r="N120" i="1" s="1"/>
  <c r="L120" i="1"/>
  <c r="M120" i="1"/>
  <c r="O120" i="1"/>
  <c r="P120" i="1"/>
  <c r="R120" i="1" s="1"/>
  <c r="Q120" i="1"/>
  <c r="S120" i="1"/>
  <c r="G121" i="1"/>
  <c r="L121" i="1"/>
  <c r="M121" i="1"/>
  <c r="N121" i="1"/>
  <c r="R121" i="1" s="1"/>
  <c r="O121" i="1"/>
  <c r="P121" i="1"/>
  <c r="Q121" i="1"/>
  <c r="S121" i="1"/>
  <c r="T121" i="1"/>
  <c r="U121" i="1"/>
  <c r="V121" i="1"/>
  <c r="W121" i="1"/>
  <c r="G122" i="1"/>
  <c r="N122" i="1" s="1"/>
  <c r="L122" i="1"/>
  <c r="R122" i="1" s="1"/>
  <c r="M122" i="1"/>
  <c r="O122" i="1"/>
  <c r="P122" i="1"/>
  <c r="Q122" i="1"/>
  <c r="S122" i="1"/>
  <c r="U122" i="1" s="1"/>
  <c r="T122" i="1"/>
  <c r="W122" i="1"/>
  <c r="G123" i="1"/>
  <c r="L123" i="1"/>
  <c r="M123" i="1"/>
  <c r="N123" i="1"/>
  <c r="O123" i="1"/>
  <c r="P123" i="1"/>
  <c r="Q123" i="1"/>
  <c r="S123" i="1"/>
  <c r="T123" i="1"/>
  <c r="U123" i="1"/>
  <c r="V123" i="1"/>
  <c r="W123" i="1"/>
  <c r="G124" i="1"/>
  <c r="L124" i="1"/>
  <c r="M124" i="1"/>
  <c r="N124" i="1"/>
  <c r="O124" i="1"/>
  <c r="P124" i="1"/>
  <c r="Q124" i="1"/>
  <c r="R124" i="1"/>
  <c r="S124" i="1"/>
  <c r="U124" i="1" s="1"/>
  <c r="T124" i="1"/>
  <c r="V124" i="1"/>
  <c r="W124" i="1"/>
  <c r="G125" i="1"/>
  <c r="N125" i="1" s="1"/>
  <c r="L125" i="1"/>
  <c r="R125" i="1" s="1"/>
  <c r="M125" i="1"/>
  <c r="O125" i="1"/>
  <c r="P125" i="1"/>
  <c r="Q125" i="1"/>
  <c r="S125" i="1"/>
  <c r="G126" i="1"/>
  <c r="L126" i="1"/>
  <c r="M126" i="1"/>
  <c r="N126" i="1"/>
  <c r="O126" i="1"/>
  <c r="P126" i="1"/>
  <c r="Q126" i="1"/>
  <c r="S126" i="1"/>
  <c r="U126" i="1" s="1"/>
  <c r="T126" i="1"/>
  <c r="W126" i="1"/>
  <c r="G127" i="1"/>
  <c r="N127" i="1" s="1"/>
  <c r="L127" i="1"/>
  <c r="M127" i="1"/>
  <c r="O127" i="1"/>
  <c r="P127" i="1"/>
  <c r="Q127" i="1"/>
  <c r="R127" i="1"/>
  <c r="S127" i="1"/>
  <c r="W127" i="1" s="1"/>
  <c r="T127" i="1"/>
  <c r="U127" i="1"/>
  <c r="V127" i="1"/>
  <c r="G128" i="1"/>
  <c r="L128" i="1"/>
  <c r="M128" i="1"/>
  <c r="N128" i="1"/>
  <c r="O128" i="1"/>
  <c r="P128" i="1"/>
  <c r="Q128" i="1"/>
  <c r="S128" i="1"/>
  <c r="U128" i="1"/>
  <c r="G129" i="1"/>
  <c r="N129" i="1" s="1"/>
  <c r="L129" i="1"/>
  <c r="M129" i="1"/>
  <c r="O129" i="1"/>
  <c r="P129" i="1"/>
  <c r="Q129" i="1"/>
  <c r="S129" i="1"/>
  <c r="T129" i="1" s="1"/>
  <c r="U129" i="1"/>
  <c r="V129" i="1"/>
  <c r="W129" i="1"/>
  <c r="G130" i="1"/>
  <c r="L130" i="1"/>
  <c r="M130" i="1"/>
  <c r="N130" i="1"/>
  <c r="R130" i="1" s="1"/>
  <c r="O130" i="1"/>
  <c r="P130" i="1"/>
  <c r="Q130" i="1"/>
  <c r="S130" i="1"/>
  <c r="T130" i="1"/>
  <c r="G131" i="1"/>
  <c r="L131" i="1"/>
  <c r="M131" i="1"/>
  <c r="R131" i="1" s="1"/>
  <c r="N131" i="1"/>
  <c r="O131" i="1"/>
  <c r="P131" i="1"/>
  <c r="Q131" i="1"/>
  <c r="S131" i="1"/>
  <c r="U131" i="1" s="1"/>
  <c r="T131" i="1"/>
  <c r="V131" i="1"/>
  <c r="W131" i="1"/>
  <c r="G132" i="1"/>
  <c r="L132" i="1"/>
  <c r="M132" i="1"/>
  <c r="N132" i="1"/>
  <c r="O132" i="1"/>
  <c r="P132" i="1"/>
  <c r="Q132" i="1"/>
  <c r="R132" i="1"/>
  <c r="S132" i="1"/>
  <c r="U132" i="1" s="1"/>
  <c r="T132" i="1"/>
  <c r="G133" i="1"/>
  <c r="N133" i="1" s="1"/>
  <c r="L133" i="1"/>
  <c r="M133" i="1"/>
  <c r="O133" i="1"/>
  <c r="P133" i="1"/>
  <c r="Q133" i="1"/>
  <c r="S133" i="1"/>
  <c r="T133" i="1"/>
  <c r="U133" i="1"/>
  <c r="V133" i="1"/>
  <c r="W133" i="1"/>
  <c r="G134" i="1"/>
  <c r="N134" i="1" s="1"/>
  <c r="L134" i="1"/>
  <c r="M134" i="1"/>
  <c r="O134" i="1"/>
  <c r="P134" i="1"/>
  <c r="Q134" i="1"/>
  <c r="S134" i="1"/>
  <c r="T134" i="1"/>
  <c r="U134" i="1"/>
  <c r="V134" i="1"/>
  <c r="W134" i="1"/>
  <c r="G135" i="1"/>
  <c r="L135" i="1"/>
  <c r="M135" i="1"/>
  <c r="N135" i="1"/>
  <c r="O135" i="1"/>
  <c r="P135" i="1"/>
  <c r="Q135" i="1"/>
  <c r="S135" i="1"/>
  <c r="G136" i="1"/>
  <c r="N136" i="1" s="1"/>
  <c r="L136" i="1"/>
  <c r="M136" i="1"/>
  <c r="O136" i="1"/>
  <c r="P136" i="1"/>
  <c r="Q136" i="1"/>
  <c r="S136" i="1"/>
  <c r="T136" i="1"/>
  <c r="G137" i="1"/>
  <c r="L137" i="1"/>
  <c r="M137" i="1"/>
  <c r="N137" i="1"/>
  <c r="O137" i="1"/>
  <c r="P137" i="1"/>
  <c r="Q137" i="1"/>
  <c r="S137" i="1"/>
  <c r="T137" i="1" s="1"/>
  <c r="V137" i="1"/>
  <c r="W137" i="1"/>
  <c r="G138" i="1"/>
  <c r="N138" i="1" s="1"/>
  <c r="L138" i="1"/>
  <c r="M138" i="1"/>
  <c r="O138" i="1"/>
  <c r="P138" i="1"/>
  <c r="Q138" i="1"/>
  <c r="S138" i="1"/>
  <c r="T138" i="1"/>
  <c r="G139" i="1"/>
  <c r="L139" i="1"/>
  <c r="M139" i="1"/>
  <c r="N139" i="1"/>
  <c r="O139" i="1"/>
  <c r="P139" i="1"/>
  <c r="Q139" i="1"/>
  <c r="S139" i="1"/>
  <c r="T139" i="1"/>
  <c r="U139" i="1"/>
  <c r="V139" i="1"/>
  <c r="W139" i="1"/>
  <c r="G140" i="1"/>
  <c r="N140" i="1" s="1"/>
  <c r="L140" i="1"/>
  <c r="R140" i="1" s="1"/>
  <c r="M140" i="1"/>
  <c r="O140" i="1"/>
  <c r="P140" i="1"/>
  <c r="Q140" i="1"/>
  <c r="S140" i="1"/>
  <c r="U140" i="1" s="1"/>
  <c r="T140" i="1"/>
  <c r="V140" i="1"/>
  <c r="W140" i="1"/>
  <c r="G141" i="1"/>
  <c r="L141" i="1"/>
  <c r="M141" i="1"/>
  <c r="N141" i="1"/>
  <c r="O141" i="1"/>
  <c r="P141" i="1"/>
  <c r="Q141" i="1"/>
  <c r="S141" i="1"/>
  <c r="T141" i="1" s="1"/>
  <c r="U141" i="1"/>
  <c r="G142" i="1"/>
  <c r="L142" i="1"/>
  <c r="M142" i="1"/>
  <c r="N142" i="1"/>
  <c r="O142" i="1"/>
  <c r="P142" i="1"/>
  <c r="Q142" i="1"/>
  <c r="S142" i="1"/>
  <c r="U142" i="1"/>
  <c r="G143" i="1"/>
  <c r="N143" i="1" s="1"/>
  <c r="L143" i="1"/>
  <c r="M143" i="1"/>
  <c r="O143" i="1"/>
  <c r="P143" i="1"/>
  <c r="R143" i="1" s="1"/>
  <c r="Q143" i="1"/>
  <c r="S143" i="1"/>
  <c r="T143" i="1"/>
  <c r="U143" i="1"/>
  <c r="V143" i="1"/>
  <c r="W143" i="1"/>
  <c r="G144" i="1"/>
  <c r="N144" i="1" s="1"/>
  <c r="L144" i="1"/>
  <c r="M144" i="1"/>
  <c r="O144" i="1"/>
  <c r="P144" i="1"/>
  <c r="Q144" i="1"/>
  <c r="S144" i="1"/>
  <c r="T144" i="1" s="1"/>
  <c r="G145" i="1"/>
  <c r="L145" i="1"/>
  <c r="M145" i="1"/>
  <c r="N145" i="1"/>
  <c r="O145" i="1"/>
  <c r="P145" i="1"/>
  <c r="Q145" i="1"/>
  <c r="S145" i="1"/>
  <c r="T145" i="1" s="1"/>
  <c r="U145" i="1"/>
  <c r="V145" i="1"/>
  <c r="W145" i="1"/>
  <c r="G146" i="1"/>
  <c r="L146" i="1"/>
  <c r="M146" i="1"/>
  <c r="N146" i="1"/>
  <c r="O146" i="1"/>
  <c r="P146" i="1"/>
  <c r="Q146" i="1"/>
  <c r="S146" i="1"/>
  <c r="T146" i="1"/>
  <c r="G147" i="1"/>
  <c r="L147" i="1"/>
  <c r="M147" i="1"/>
  <c r="N147" i="1"/>
  <c r="O147" i="1"/>
  <c r="P147" i="1"/>
  <c r="Q147" i="1"/>
  <c r="R147" i="1"/>
  <c r="S147" i="1"/>
  <c r="T147" i="1"/>
  <c r="V147" i="1"/>
  <c r="G148" i="1"/>
  <c r="L148" i="1"/>
  <c r="M148" i="1"/>
  <c r="N148" i="1"/>
  <c r="O148" i="1"/>
  <c r="R148" i="1" s="1"/>
  <c r="P148" i="1"/>
  <c r="Q148" i="1"/>
  <c r="S148" i="1"/>
  <c r="T148" i="1"/>
  <c r="U148" i="1"/>
  <c r="V148" i="1"/>
  <c r="W148" i="1"/>
  <c r="G149" i="1"/>
  <c r="N149" i="1" s="1"/>
  <c r="L149" i="1"/>
  <c r="M149" i="1"/>
  <c r="O149" i="1"/>
  <c r="P149" i="1"/>
  <c r="Q149" i="1"/>
  <c r="S149" i="1"/>
  <c r="U149" i="1" s="1"/>
  <c r="T149" i="1"/>
  <c r="W149" i="1"/>
  <c r="G150" i="1"/>
  <c r="L150" i="1"/>
  <c r="R150" i="1" s="1"/>
  <c r="M150" i="1"/>
  <c r="N150" i="1"/>
  <c r="O150" i="1"/>
  <c r="P150" i="1"/>
  <c r="Q150" i="1"/>
  <c r="S150" i="1"/>
  <c r="T150" i="1"/>
  <c r="U150" i="1"/>
  <c r="V150" i="1"/>
  <c r="W150" i="1"/>
  <c r="G151" i="1"/>
  <c r="L151" i="1"/>
  <c r="M151" i="1"/>
  <c r="N151" i="1"/>
  <c r="O151" i="1"/>
  <c r="P151" i="1"/>
  <c r="R151" i="1" s="1"/>
  <c r="Q151" i="1"/>
  <c r="S151" i="1"/>
  <c r="G152" i="1"/>
  <c r="N152" i="1" s="1"/>
  <c r="L152" i="1"/>
  <c r="R152" i="1" s="1"/>
  <c r="M152" i="1"/>
  <c r="O152" i="1"/>
  <c r="P152" i="1"/>
  <c r="Q152" i="1"/>
  <c r="S152" i="1"/>
  <c r="W152" i="1" s="1"/>
  <c r="U152" i="1"/>
  <c r="V152" i="1"/>
  <c r="G153" i="1"/>
  <c r="L153" i="1"/>
  <c r="M153" i="1"/>
  <c r="N153" i="1"/>
  <c r="O153" i="1"/>
  <c r="R153" i="1" s="1"/>
  <c r="P153" i="1"/>
  <c r="Q153" i="1"/>
  <c r="S153" i="1"/>
  <c r="G154" i="1"/>
  <c r="N154" i="1" s="1"/>
  <c r="L154" i="1"/>
  <c r="M154" i="1"/>
  <c r="O154" i="1"/>
  <c r="P154" i="1"/>
  <c r="Q154" i="1"/>
  <c r="S154" i="1"/>
  <c r="T154" i="1"/>
  <c r="V154" i="1"/>
  <c r="G155" i="1"/>
  <c r="N155" i="1" s="1"/>
  <c r="L155" i="1"/>
  <c r="M155" i="1"/>
  <c r="O155" i="1"/>
  <c r="P155" i="1"/>
  <c r="Q155" i="1"/>
  <c r="S155" i="1"/>
  <c r="T155" i="1"/>
  <c r="U155" i="1"/>
  <c r="V155" i="1"/>
  <c r="W155" i="1"/>
  <c r="G156" i="1"/>
  <c r="L156" i="1"/>
  <c r="M156" i="1"/>
  <c r="N156" i="1"/>
  <c r="O156" i="1"/>
  <c r="P156" i="1"/>
  <c r="Q156" i="1"/>
  <c r="S156" i="1"/>
  <c r="U156" i="1" s="1"/>
  <c r="T156" i="1"/>
  <c r="V156" i="1"/>
  <c r="W156" i="1"/>
  <c r="G157" i="1"/>
  <c r="N157" i="1" s="1"/>
  <c r="R157" i="1" s="1"/>
  <c r="L157" i="1"/>
  <c r="M157" i="1"/>
  <c r="O157" i="1"/>
  <c r="P157" i="1"/>
  <c r="Q157" i="1"/>
  <c r="S157" i="1"/>
  <c r="G158" i="1"/>
  <c r="L158" i="1"/>
  <c r="M158" i="1"/>
  <c r="N158" i="1"/>
  <c r="O158" i="1"/>
  <c r="P158" i="1"/>
  <c r="Q158" i="1"/>
  <c r="S158" i="1"/>
  <c r="U158" i="1" s="1"/>
  <c r="T158" i="1"/>
  <c r="G159" i="1"/>
  <c r="N159" i="1" s="1"/>
  <c r="L159" i="1"/>
  <c r="M159" i="1"/>
  <c r="O159" i="1"/>
  <c r="P159" i="1"/>
  <c r="Q159" i="1"/>
  <c r="R159" i="1"/>
  <c r="S159" i="1"/>
  <c r="V159" i="1" s="1"/>
  <c r="T159" i="1"/>
  <c r="W159" i="1"/>
  <c r="G160" i="1"/>
  <c r="N160" i="1" s="1"/>
  <c r="L160" i="1"/>
  <c r="M160" i="1"/>
  <c r="O160" i="1"/>
  <c r="P160" i="1"/>
  <c r="Q160" i="1"/>
  <c r="S160" i="1"/>
  <c r="T160" i="1" s="1"/>
  <c r="U160" i="1"/>
  <c r="V160" i="1"/>
  <c r="W160" i="1"/>
  <c r="G161" i="1"/>
  <c r="L161" i="1"/>
  <c r="M161" i="1"/>
  <c r="N161" i="1"/>
  <c r="O161" i="1"/>
  <c r="P161" i="1"/>
  <c r="Q161" i="1"/>
  <c r="S161" i="1"/>
  <c r="T161" i="1" s="1"/>
  <c r="U161" i="1"/>
  <c r="V161" i="1"/>
  <c r="W161" i="1"/>
  <c r="G162" i="1"/>
  <c r="L162" i="1"/>
  <c r="M162" i="1"/>
  <c r="R162" i="1" s="1"/>
  <c r="N162" i="1"/>
  <c r="O162" i="1"/>
  <c r="P162" i="1"/>
  <c r="Q162" i="1"/>
  <c r="S162" i="1"/>
  <c r="T162" i="1"/>
  <c r="G163" i="1"/>
  <c r="L163" i="1"/>
  <c r="R163" i="1" s="1"/>
  <c r="M163" i="1"/>
  <c r="N163" i="1"/>
  <c r="O163" i="1"/>
  <c r="P163" i="1"/>
  <c r="Q163" i="1"/>
  <c r="S163" i="1"/>
  <c r="T163" i="1"/>
  <c r="U163" i="1"/>
  <c r="V163" i="1"/>
  <c r="W163" i="1"/>
  <c r="G164" i="1"/>
  <c r="L164" i="1"/>
  <c r="M164" i="1"/>
  <c r="N164" i="1"/>
  <c r="O164" i="1"/>
  <c r="P164" i="1"/>
  <c r="Q164" i="1"/>
  <c r="S164" i="1"/>
  <c r="T164" i="1" s="1"/>
  <c r="V164" i="1"/>
  <c r="W164" i="1"/>
  <c r="G165" i="1"/>
  <c r="N165" i="1" s="1"/>
  <c r="L165" i="1"/>
  <c r="M165" i="1"/>
  <c r="O165" i="1"/>
  <c r="P165" i="1"/>
  <c r="Q165" i="1"/>
  <c r="S165" i="1"/>
  <c r="T165" i="1"/>
  <c r="U165" i="1"/>
  <c r="G166" i="1"/>
  <c r="L166" i="1"/>
  <c r="M166" i="1"/>
  <c r="N166" i="1"/>
  <c r="O166" i="1"/>
  <c r="P166" i="1"/>
  <c r="Q166" i="1"/>
  <c r="S166" i="1"/>
  <c r="T166" i="1"/>
  <c r="U166" i="1"/>
  <c r="V166" i="1"/>
  <c r="W166" i="1"/>
  <c r="G167" i="1"/>
  <c r="N167" i="1" s="1"/>
  <c r="L167" i="1"/>
  <c r="M167" i="1"/>
  <c r="O167" i="1"/>
  <c r="P167" i="1"/>
  <c r="Q167" i="1"/>
  <c r="R167" i="1"/>
  <c r="S167" i="1"/>
  <c r="G168" i="1"/>
  <c r="L168" i="1"/>
  <c r="M168" i="1"/>
  <c r="N168" i="1"/>
  <c r="O168" i="1"/>
  <c r="P168" i="1"/>
  <c r="Q168" i="1"/>
  <c r="R168" i="1" s="1"/>
  <c r="S168" i="1"/>
  <c r="G169" i="1"/>
  <c r="L169" i="1"/>
  <c r="M169" i="1"/>
  <c r="N169" i="1"/>
  <c r="R169" i="1" s="1"/>
  <c r="O169" i="1"/>
  <c r="P169" i="1"/>
  <c r="Q169" i="1"/>
  <c r="S169" i="1"/>
  <c r="T169" i="1" s="1"/>
  <c r="V169" i="1"/>
  <c r="W169" i="1"/>
  <c r="G170" i="1"/>
  <c r="N170" i="1" s="1"/>
  <c r="L170" i="1"/>
  <c r="M170" i="1"/>
  <c r="O170" i="1"/>
  <c r="P170" i="1"/>
  <c r="Q170" i="1"/>
  <c r="R170" i="1" s="1"/>
  <c r="S170" i="1"/>
  <c r="T170" i="1"/>
  <c r="V170" i="1"/>
  <c r="G171" i="1"/>
  <c r="L171" i="1"/>
  <c r="M171" i="1"/>
  <c r="N171" i="1"/>
  <c r="O171" i="1"/>
  <c r="P171" i="1"/>
  <c r="Q171" i="1"/>
  <c r="S171" i="1"/>
  <c r="T171" i="1"/>
  <c r="U171" i="1"/>
  <c r="V171" i="1"/>
  <c r="W171" i="1"/>
  <c r="G172" i="1"/>
  <c r="N172" i="1" s="1"/>
  <c r="L172" i="1"/>
  <c r="M172" i="1"/>
  <c r="R172" i="1" s="1"/>
  <c r="O172" i="1"/>
  <c r="P172" i="1"/>
  <c r="Q172" i="1"/>
  <c r="S172" i="1"/>
  <c r="U172" i="1" s="1"/>
  <c r="T172" i="1"/>
  <c r="V172" i="1"/>
  <c r="W172" i="1"/>
  <c r="G173" i="1"/>
  <c r="L173" i="1"/>
  <c r="R173" i="1" s="1"/>
  <c r="M173" i="1"/>
  <c r="N173" i="1"/>
  <c r="O173" i="1"/>
  <c r="P173" i="1"/>
  <c r="Q173" i="1"/>
  <c r="S173" i="1"/>
  <c r="T173" i="1"/>
  <c r="U173" i="1"/>
  <c r="G174" i="1"/>
  <c r="L174" i="1"/>
  <c r="M174" i="1"/>
  <c r="N174" i="1"/>
  <c r="O174" i="1"/>
  <c r="P174" i="1"/>
  <c r="Q174" i="1"/>
  <c r="R174" i="1"/>
  <c r="S174" i="1"/>
  <c r="T174" i="1" s="1"/>
  <c r="G175" i="1"/>
  <c r="N175" i="1" s="1"/>
  <c r="R175" i="1" s="1"/>
  <c r="L175" i="1"/>
  <c r="M175" i="1"/>
  <c r="O175" i="1"/>
  <c r="P175" i="1"/>
  <c r="Q175" i="1"/>
  <c r="S175" i="1"/>
  <c r="T175" i="1"/>
  <c r="U175" i="1"/>
  <c r="V175" i="1"/>
  <c r="W175" i="1"/>
  <c r="G176" i="1"/>
  <c r="N176" i="1" s="1"/>
  <c r="L176" i="1"/>
  <c r="M176" i="1"/>
  <c r="O176" i="1"/>
  <c r="P176" i="1"/>
  <c r="Q176" i="1"/>
  <c r="S176" i="1"/>
  <c r="G177" i="1"/>
  <c r="L177" i="1"/>
  <c r="M177" i="1"/>
  <c r="N177" i="1"/>
  <c r="O177" i="1"/>
  <c r="P177" i="1"/>
  <c r="Q177" i="1"/>
  <c r="S177" i="1"/>
  <c r="T177" i="1" s="1"/>
  <c r="U177" i="1"/>
  <c r="V177" i="1"/>
  <c r="W177" i="1"/>
  <c r="G178" i="1"/>
  <c r="N178" i="1" s="1"/>
  <c r="R178" i="1" s="1"/>
  <c r="L178" i="1"/>
  <c r="M178" i="1"/>
  <c r="O178" i="1"/>
  <c r="P178" i="1"/>
  <c r="Q178" i="1"/>
  <c r="S178" i="1"/>
  <c r="T178" i="1"/>
  <c r="G179" i="1"/>
  <c r="L179" i="1"/>
  <c r="M179" i="1"/>
  <c r="N179" i="1"/>
  <c r="O179" i="1"/>
  <c r="P179" i="1"/>
  <c r="Q179" i="1"/>
  <c r="S179" i="1"/>
  <c r="T179" i="1" s="1"/>
  <c r="V179" i="1"/>
  <c r="W179" i="1"/>
  <c r="G180" i="1"/>
  <c r="L180" i="1"/>
  <c r="M180" i="1"/>
  <c r="N180" i="1"/>
  <c r="O180" i="1"/>
  <c r="P180" i="1"/>
  <c r="Q180" i="1"/>
  <c r="R180" i="1"/>
  <c r="S180" i="1"/>
  <c r="T180" i="1"/>
  <c r="G181" i="1"/>
  <c r="N181" i="1" s="1"/>
  <c r="L181" i="1"/>
  <c r="M181" i="1"/>
  <c r="O181" i="1"/>
  <c r="P181" i="1"/>
  <c r="Q181" i="1"/>
  <c r="S181" i="1"/>
  <c r="T181" i="1" s="1"/>
  <c r="V181" i="1"/>
  <c r="W181" i="1"/>
  <c r="G182" i="1"/>
  <c r="N182" i="1" s="1"/>
  <c r="L182" i="1"/>
  <c r="M182" i="1"/>
  <c r="O182" i="1"/>
  <c r="P182" i="1"/>
  <c r="Q182" i="1"/>
  <c r="S182" i="1"/>
  <c r="T182" i="1"/>
  <c r="U182" i="1"/>
  <c r="V182" i="1"/>
  <c r="W182" i="1"/>
  <c r="G183" i="1"/>
  <c r="L183" i="1"/>
  <c r="M183" i="1"/>
  <c r="N183" i="1"/>
  <c r="O183" i="1"/>
  <c r="P183" i="1"/>
  <c r="Q183" i="1"/>
  <c r="S183" i="1"/>
  <c r="G184" i="1"/>
  <c r="L184" i="1"/>
  <c r="M184" i="1"/>
  <c r="N184" i="1"/>
  <c r="O184" i="1"/>
  <c r="P184" i="1"/>
  <c r="Q184" i="1"/>
  <c r="S184" i="1"/>
  <c r="W184" i="1" s="1"/>
  <c r="V184" i="1"/>
  <c r="G185" i="1"/>
  <c r="L185" i="1"/>
  <c r="M185" i="1"/>
  <c r="N185" i="1"/>
  <c r="O185" i="1"/>
  <c r="P185" i="1"/>
  <c r="Q185" i="1"/>
  <c r="R185" i="1" s="1"/>
  <c r="S185" i="1"/>
  <c r="U185" i="1"/>
  <c r="G186" i="1"/>
  <c r="N186" i="1" s="1"/>
  <c r="L186" i="1"/>
  <c r="M186" i="1"/>
  <c r="O186" i="1"/>
  <c r="P186" i="1"/>
  <c r="Q186" i="1"/>
  <c r="S186" i="1"/>
  <c r="U186" i="1" s="1"/>
  <c r="T186" i="1"/>
  <c r="V186" i="1"/>
  <c r="W186" i="1"/>
  <c r="G187" i="1"/>
  <c r="L187" i="1"/>
  <c r="R187" i="1" s="1"/>
  <c r="M187" i="1"/>
  <c r="N187" i="1"/>
  <c r="O187" i="1"/>
  <c r="P187" i="1"/>
  <c r="Q187" i="1"/>
  <c r="S187" i="1"/>
  <c r="T187" i="1"/>
  <c r="U187" i="1"/>
  <c r="V187" i="1"/>
  <c r="W187" i="1"/>
  <c r="G188" i="1"/>
  <c r="L188" i="1"/>
  <c r="M188" i="1"/>
  <c r="N188" i="1"/>
  <c r="R188" i="1" s="1"/>
  <c r="O188" i="1"/>
  <c r="P188" i="1"/>
  <c r="Q188" i="1"/>
  <c r="S188" i="1"/>
  <c r="U188" i="1" s="1"/>
  <c r="T188" i="1"/>
  <c r="V188" i="1"/>
  <c r="W188" i="1"/>
  <c r="G189" i="1"/>
  <c r="L189" i="1"/>
  <c r="M189" i="1"/>
  <c r="N189" i="1"/>
  <c r="O189" i="1"/>
  <c r="P189" i="1"/>
  <c r="Q189" i="1"/>
  <c r="R189" i="1"/>
  <c r="S189" i="1"/>
  <c r="T189" i="1"/>
  <c r="U189" i="1"/>
  <c r="G190" i="1"/>
  <c r="L190" i="1"/>
  <c r="M190" i="1"/>
  <c r="N190" i="1"/>
  <c r="O190" i="1"/>
  <c r="P190" i="1"/>
  <c r="Q190" i="1"/>
  <c r="S190" i="1"/>
  <c r="V190" i="1" s="1"/>
  <c r="T190" i="1"/>
  <c r="W190" i="1"/>
  <c r="G191" i="1"/>
  <c r="N191" i="1" s="1"/>
  <c r="L191" i="1"/>
  <c r="M191" i="1"/>
  <c r="O191" i="1"/>
  <c r="P191" i="1"/>
  <c r="R191" i="1" s="1"/>
  <c r="Q191" i="1"/>
  <c r="S191" i="1"/>
  <c r="U191" i="1" s="1"/>
  <c r="T191" i="1"/>
  <c r="W191" i="1"/>
  <c r="G192" i="1"/>
  <c r="N192" i="1" s="1"/>
  <c r="L192" i="1"/>
  <c r="M192" i="1"/>
  <c r="O192" i="1"/>
  <c r="P192" i="1"/>
  <c r="Q192" i="1"/>
  <c r="S192" i="1"/>
  <c r="W192" i="1" s="1"/>
  <c r="T192" i="1"/>
  <c r="V192" i="1"/>
  <c r="G193" i="1"/>
  <c r="N193" i="1" s="1"/>
  <c r="L193" i="1"/>
  <c r="M193" i="1"/>
  <c r="O193" i="1"/>
  <c r="P193" i="1"/>
  <c r="Q193" i="1"/>
  <c r="S193" i="1"/>
  <c r="T193" i="1" s="1"/>
  <c r="U193" i="1"/>
  <c r="V193" i="1"/>
  <c r="W193" i="1"/>
  <c r="G194" i="1"/>
  <c r="L194" i="1"/>
  <c r="M194" i="1"/>
  <c r="N194" i="1"/>
  <c r="O194" i="1"/>
  <c r="P194" i="1"/>
  <c r="Q194" i="1"/>
  <c r="S194" i="1"/>
  <c r="T194" i="1" s="1"/>
  <c r="G195" i="1"/>
  <c r="L195" i="1"/>
  <c r="M195" i="1"/>
  <c r="N195" i="1"/>
  <c r="O195" i="1"/>
  <c r="P195" i="1"/>
  <c r="Q195" i="1"/>
  <c r="S195" i="1"/>
  <c r="T195" i="1"/>
  <c r="V195" i="1"/>
  <c r="G196" i="1"/>
  <c r="L196" i="1"/>
  <c r="M196" i="1"/>
  <c r="N196" i="1"/>
  <c r="O196" i="1"/>
  <c r="P196" i="1"/>
  <c r="Q196" i="1"/>
  <c r="R196" i="1"/>
  <c r="S196" i="1"/>
  <c r="T196" i="1"/>
  <c r="G197" i="1"/>
  <c r="N197" i="1" s="1"/>
  <c r="L197" i="1"/>
  <c r="R197" i="1" s="1"/>
  <c r="M197" i="1"/>
  <c r="O197" i="1"/>
  <c r="P197" i="1"/>
  <c r="Q197" i="1"/>
  <c r="S197" i="1"/>
  <c r="U197" i="1" s="1"/>
  <c r="T197" i="1"/>
  <c r="V197" i="1"/>
  <c r="W197" i="1"/>
  <c r="G198" i="1"/>
  <c r="L198" i="1"/>
  <c r="M198" i="1"/>
  <c r="N198" i="1"/>
  <c r="O198" i="1"/>
  <c r="P198" i="1"/>
  <c r="Q198" i="1"/>
  <c r="S198" i="1"/>
  <c r="T198" i="1"/>
  <c r="U198" i="1"/>
  <c r="V198" i="1"/>
  <c r="W198" i="1"/>
  <c r="G199" i="1"/>
  <c r="L199" i="1"/>
  <c r="M199" i="1"/>
  <c r="R199" i="1" s="1"/>
  <c r="N199" i="1"/>
  <c r="O199" i="1"/>
  <c r="P199" i="1"/>
  <c r="Q199" i="1"/>
  <c r="S199" i="1"/>
  <c r="W199" i="1"/>
  <c r="G200" i="1"/>
  <c r="L200" i="1"/>
  <c r="M200" i="1"/>
  <c r="R200" i="1" s="1"/>
  <c r="N200" i="1"/>
  <c r="O200" i="1"/>
  <c r="P200" i="1"/>
  <c r="Q200" i="1"/>
  <c r="S200" i="1"/>
  <c r="W200" i="1" s="1"/>
  <c r="T200" i="1"/>
  <c r="U200" i="1"/>
  <c r="V200" i="1"/>
  <c r="G201" i="1"/>
  <c r="L201" i="1"/>
  <c r="M201" i="1"/>
  <c r="N201" i="1"/>
  <c r="R201" i="1" s="1"/>
  <c r="O201" i="1"/>
  <c r="P201" i="1"/>
  <c r="Q201" i="1"/>
  <c r="S201" i="1"/>
  <c r="V201" i="1" s="1"/>
  <c r="T201" i="1"/>
  <c r="G202" i="1"/>
  <c r="N202" i="1" s="1"/>
  <c r="L202" i="1"/>
  <c r="M202" i="1"/>
  <c r="O202" i="1"/>
  <c r="P202" i="1"/>
  <c r="Q202" i="1"/>
  <c r="S202" i="1"/>
  <c r="T202" i="1" s="1"/>
  <c r="U202" i="1"/>
  <c r="V202" i="1"/>
  <c r="W202" i="1"/>
  <c r="G203" i="1"/>
  <c r="N203" i="1" s="1"/>
  <c r="L203" i="1"/>
  <c r="M203" i="1"/>
  <c r="O203" i="1"/>
  <c r="P203" i="1"/>
  <c r="Q203" i="1"/>
  <c r="S203" i="1"/>
  <c r="T203" i="1" s="1"/>
  <c r="G204" i="1"/>
  <c r="L204" i="1"/>
  <c r="M204" i="1"/>
  <c r="N204" i="1"/>
  <c r="O204" i="1"/>
  <c r="P204" i="1"/>
  <c r="Q204" i="1"/>
  <c r="S204" i="1"/>
  <c r="U204" i="1" s="1"/>
  <c r="T204" i="1"/>
  <c r="V204" i="1"/>
  <c r="W204" i="1"/>
  <c r="G205" i="1"/>
  <c r="N205" i="1" s="1"/>
  <c r="L205" i="1"/>
  <c r="M205" i="1"/>
  <c r="O205" i="1"/>
  <c r="P205" i="1"/>
  <c r="Q205" i="1"/>
  <c r="R205" i="1"/>
  <c r="S205" i="1"/>
  <c r="T205" i="1"/>
  <c r="G206" i="1"/>
  <c r="L206" i="1"/>
  <c r="M206" i="1"/>
  <c r="N206" i="1"/>
  <c r="O206" i="1"/>
  <c r="P206" i="1"/>
  <c r="Q206" i="1"/>
  <c r="R206" i="1"/>
  <c r="S206" i="1"/>
  <c r="T206" i="1" s="1"/>
  <c r="U206" i="1"/>
  <c r="V206" i="1"/>
  <c r="W206" i="1"/>
  <c r="G207" i="1"/>
  <c r="N207" i="1" s="1"/>
  <c r="L207" i="1"/>
  <c r="M207" i="1"/>
  <c r="O207" i="1"/>
  <c r="P207" i="1"/>
  <c r="Q207" i="1"/>
  <c r="S207" i="1"/>
  <c r="T207" i="1" s="1"/>
  <c r="G208" i="1"/>
  <c r="L208" i="1"/>
  <c r="M208" i="1"/>
  <c r="N208" i="1"/>
  <c r="O208" i="1"/>
  <c r="P208" i="1"/>
  <c r="Q208" i="1"/>
  <c r="R208" i="1"/>
  <c r="S208" i="1"/>
  <c r="T208" i="1"/>
  <c r="U208" i="1"/>
  <c r="G209" i="1"/>
  <c r="N209" i="1" s="1"/>
  <c r="L209" i="1"/>
  <c r="M209" i="1"/>
  <c r="O209" i="1"/>
  <c r="P209" i="1"/>
  <c r="Q209" i="1"/>
  <c r="S209" i="1"/>
  <c r="T209" i="1" s="1"/>
  <c r="U209" i="1"/>
  <c r="V209" i="1"/>
  <c r="W209" i="1"/>
  <c r="G210" i="1"/>
  <c r="N210" i="1" s="1"/>
  <c r="L210" i="1"/>
  <c r="M210" i="1"/>
  <c r="O210" i="1"/>
  <c r="P210" i="1"/>
  <c r="Q210" i="1"/>
  <c r="S210" i="1"/>
  <c r="T210" i="1"/>
  <c r="G211" i="1"/>
  <c r="L211" i="1"/>
  <c r="M211" i="1"/>
  <c r="N211" i="1"/>
  <c r="O211" i="1"/>
  <c r="P211" i="1"/>
  <c r="Q211" i="1"/>
  <c r="R211" i="1"/>
  <c r="S211" i="1"/>
  <c r="V211" i="1" s="1"/>
  <c r="W211" i="1"/>
  <c r="G212" i="1"/>
  <c r="L212" i="1"/>
  <c r="M212" i="1"/>
  <c r="N212" i="1"/>
  <c r="O212" i="1"/>
  <c r="P212" i="1"/>
  <c r="Q212" i="1"/>
  <c r="S212" i="1"/>
  <c r="U212" i="1" s="1"/>
  <c r="T212" i="1"/>
  <c r="V212" i="1"/>
  <c r="G213" i="1"/>
  <c r="N213" i="1" s="1"/>
  <c r="L213" i="1"/>
  <c r="M213" i="1"/>
  <c r="O213" i="1"/>
  <c r="P213" i="1"/>
  <c r="Q213" i="1"/>
  <c r="S213" i="1"/>
  <c r="V213" i="1" s="1"/>
  <c r="T213" i="1"/>
  <c r="U213" i="1"/>
  <c r="W213" i="1"/>
  <c r="G214" i="1"/>
  <c r="L214" i="1"/>
  <c r="M214" i="1"/>
  <c r="N214" i="1"/>
  <c r="O214" i="1"/>
  <c r="P214" i="1"/>
  <c r="Q214" i="1"/>
  <c r="S214" i="1"/>
  <c r="T214" i="1"/>
  <c r="U214" i="1"/>
  <c r="V214" i="1"/>
  <c r="W214" i="1"/>
  <c r="G215" i="1"/>
  <c r="L215" i="1"/>
  <c r="M215" i="1"/>
  <c r="N215" i="1"/>
  <c r="O215" i="1"/>
  <c r="P215" i="1"/>
  <c r="Q215" i="1"/>
  <c r="R215" i="1"/>
  <c r="S215" i="1"/>
  <c r="G216" i="1"/>
  <c r="L216" i="1"/>
  <c r="M216" i="1"/>
  <c r="N216" i="1"/>
  <c r="R216" i="1" s="1"/>
  <c r="O216" i="1"/>
  <c r="P216" i="1"/>
  <c r="Q216" i="1"/>
  <c r="S216" i="1"/>
  <c r="W216" i="1" s="1"/>
  <c r="T216" i="1"/>
  <c r="U216" i="1"/>
  <c r="V216" i="1"/>
  <c r="G217" i="1"/>
  <c r="L217" i="1"/>
  <c r="M217" i="1"/>
  <c r="N217" i="1"/>
  <c r="O217" i="1"/>
  <c r="R217" i="1" s="1"/>
  <c r="P217" i="1"/>
  <c r="Q217" i="1"/>
  <c r="S217" i="1"/>
  <c r="W217" i="1" s="1"/>
  <c r="T217" i="1"/>
  <c r="G218" i="1"/>
  <c r="N218" i="1" s="1"/>
  <c r="L218" i="1"/>
  <c r="M218" i="1"/>
  <c r="O218" i="1"/>
  <c r="P218" i="1"/>
  <c r="Q218" i="1"/>
  <c r="S218" i="1"/>
  <c r="V218" i="1" s="1"/>
  <c r="G219" i="1"/>
  <c r="N219" i="1" s="1"/>
  <c r="L219" i="1"/>
  <c r="R219" i="1" s="1"/>
  <c r="M219" i="1"/>
  <c r="O219" i="1"/>
  <c r="P219" i="1"/>
  <c r="Q219" i="1"/>
  <c r="S219" i="1"/>
  <c r="V219" i="1" s="1"/>
  <c r="T219" i="1"/>
  <c r="U219" i="1"/>
  <c r="W219" i="1"/>
  <c r="G220" i="1"/>
  <c r="L220" i="1"/>
  <c r="M220" i="1"/>
  <c r="N220" i="1"/>
  <c r="O220" i="1"/>
  <c r="P220" i="1"/>
  <c r="Q220" i="1"/>
  <c r="S220" i="1"/>
  <c r="T220" i="1" s="1"/>
  <c r="V220" i="1"/>
  <c r="W220" i="1"/>
  <c r="G221" i="1"/>
  <c r="N221" i="1" s="1"/>
  <c r="L221" i="1"/>
  <c r="M221" i="1"/>
  <c r="O221" i="1"/>
  <c r="P221" i="1"/>
  <c r="Q221" i="1"/>
  <c r="R221" i="1"/>
  <c r="S221" i="1"/>
  <c r="G222" i="1"/>
  <c r="L222" i="1"/>
  <c r="M222" i="1"/>
  <c r="N222" i="1"/>
  <c r="O222" i="1"/>
  <c r="P222" i="1"/>
  <c r="Q222" i="1"/>
  <c r="S222" i="1"/>
  <c r="U222" i="1" s="1"/>
  <c r="T222" i="1"/>
  <c r="W222" i="1"/>
  <c r="G223" i="1"/>
  <c r="N223" i="1" s="1"/>
  <c r="R223" i="1" s="1"/>
  <c r="L223" i="1"/>
  <c r="M223" i="1"/>
  <c r="O223" i="1"/>
  <c r="P223" i="1"/>
  <c r="Q223" i="1"/>
  <c r="S223" i="1"/>
  <c r="T223" i="1"/>
  <c r="U223" i="1"/>
  <c r="G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G225" i="1"/>
  <c r="N225" i="1" s="1"/>
  <c r="L225" i="1"/>
  <c r="R225" i="1" s="1"/>
  <c r="M225" i="1"/>
  <c r="O225" i="1"/>
  <c r="P225" i="1"/>
  <c r="Q225" i="1"/>
  <c r="S225" i="1"/>
  <c r="T225" i="1" s="1"/>
  <c r="U225" i="1"/>
  <c r="V225" i="1"/>
  <c r="W225" i="1"/>
  <c r="G226" i="1"/>
  <c r="L226" i="1"/>
  <c r="R226" i="1" s="1"/>
  <c r="M226" i="1"/>
  <c r="N226" i="1"/>
  <c r="O226" i="1"/>
  <c r="P226" i="1"/>
  <c r="Q226" i="1"/>
  <c r="S226" i="1"/>
  <c r="G227" i="1"/>
  <c r="L227" i="1"/>
  <c r="M227" i="1"/>
  <c r="N227" i="1"/>
  <c r="O227" i="1"/>
  <c r="P227" i="1"/>
  <c r="Q227" i="1"/>
  <c r="R227" i="1"/>
  <c r="S227" i="1"/>
  <c r="W227" i="1" s="1"/>
  <c r="T227" i="1"/>
  <c r="U227" i="1"/>
  <c r="V227" i="1"/>
  <c r="G228" i="1"/>
  <c r="N228" i="1" s="1"/>
  <c r="R228" i="1" s="1"/>
  <c r="L228" i="1"/>
  <c r="M228" i="1"/>
  <c r="O228" i="1"/>
  <c r="P228" i="1"/>
  <c r="Q228" i="1"/>
  <c r="S228" i="1"/>
  <c r="T228" i="1"/>
  <c r="U228" i="1"/>
  <c r="V228" i="1"/>
  <c r="W228" i="1"/>
  <c r="G229" i="1"/>
  <c r="N229" i="1" s="1"/>
  <c r="L229" i="1"/>
  <c r="M229" i="1"/>
  <c r="O229" i="1"/>
  <c r="P229" i="1"/>
  <c r="Q229" i="1"/>
  <c r="S229" i="1"/>
  <c r="V229" i="1" s="1"/>
  <c r="U229" i="1"/>
  <c r="W229" i="1"/>
  <c r="G230" i="1"/>
  <c r="N230" i="1" s="1"/>
  <c r="L230" i="1"/>
  <c r="M230" i="1"/>
  <c r="O230" i="1"/>
  <c r="P230" i="1"/>
  <c r="Q230" i="1"/>
  <c r="S230" i="1"/>
  <c r="T230" i="1"/>
  <c r="U230" i="1"/>
  <c r="V230" i="1"/>
  <c r="W230" i="1"/>
  <c r="G231" i="1"/>
  <c r="L231" i="1"/>
  <c r="M231" i="1"/>
  <c r="N231" i="1"/>
  <c r="O231" i="1"/>
  <c r="P231" i="1"/>
  <c r="Q231" i="1"/>
  <c r="S231" i="1"/>
  <c r="U231" i="1" s="1"/>
  <c r="T231" i="1"/>
  <c r="W231" i="1"/>
  <c r="G232" i="1"/>
  <c r="N232" i="1" s="1"/>
  <c r="L232" i="1"/>
  <c r="R232" i="1" s="1"/>
  <c r="M232" i="1"/>
  <c r="O232" i="1"/>
  <c r="P232" i="1"/>
  <c r="Q232" i="1"/>
  <c r="S232" i="1"/>
  <c r="V232" i="1" s="1"/>
  <c r="T232" i="1"/>
  <c r="W232" i="1"/>
  <c r="G233" i="1"/>
  <c r="L233" i="1"/>
  <c r="M233" i="1"/>
  <c r="N233" i="1"/>
  <c r="O233" i="1"/>
  <c r="P233" i="1"/>
  <c r="Q233" i="1"/>
  <c r="S233" i="1"/>
  <c r="U233" i="1" s="1"/>
  <c r="T233" i="1"/>
  <c r="W233" i="1"/>
  <c r="G234" i="1"/>
  <c r="N234" i="1" s="1"/>
  <c r="L234" i="1"/>
  <c r="M234" i="1"/>
  <c r="O234" i="1"/>
  <c r="P234" i="1"/>
  <c r="Q234" i="1"/>
  <c r="R234" i="1"/>
  <c r="S234" i="1"/>
  <c r="W234" i="1"/>
  <c r="G235" i="1"/>
  <c r="N235" i="1" s="1"/>
  <c r="L235" i="1"/>
  <c r="M235" i="1"/>
  <c r="O235" i="1"/>
  <c r="P235" i="1"/>
  <c r="Q235" i="1"/>
  <c r="S235" i="1"/>
  <c r="G236" i="1"/>
  <c r="L236" i="1"/>
  <c r="M236" i="1"/>
  <c r="N236" i="1"/>
  <c r="O236" i="1"/>
  <c r="P236" i="1"/>
  <c r="Q236" i="1"/>
  <c r="S236" i="1"/>
  <c r="V236" i="1"/>
  <c r="W236" i="1"/>
  <c r="G237" i="1"/>
  <c r="N237" i="1" s="1"/>
  <c r="L237" i="1"/>
  <c r="R237" i="1" s="1"/>
  <c r="M237" i="1"/>
  <c r="O237" i="1"/>
  <c r="P237" i="1"/>
  <c r="Q237" i="1"/>
  <c r="S237" i="1"/>
  <c r="T237" i="1" s="1"/>
  <c r="G238" i="1"/>
  <c r="L238" i="1"/>
  <c r="M238" i="1"/>
  <c r="N238" i="1"/>
  <c r="O238" i="1"/>
  <c r="P238" i="1"/>
  <c r="Q238" i="1"/>
  <c r="R238" i="1"/>
  <c r="S238" i="1"/>
  <c r="T238" i="1"/>
  <c r="G239" i="1"/>
  <c r="N239" i="1" s="1"/>
  <c r="L239" i="1"/>
  <c r="M239" i="1"/>
  <c r="O239" i="1"/>
  <c r="P239" i="1"/>
  <c r="Q239" i="1"/>
  <c r="R239" i="1"/>
  <c r="S239" i="1"/>
  <c r="U239" i="1"/>
  <c r="G240" i="1"/>
  <c r="N240" i="1" s="1"/>
  <c r="L240" i="1"/>
  <c r="M240" i="1"/>
  <c r="O240" i="1"/>
  <c r="P240" i="1"/>
  <c r="Q240" i="1"/>
  <c r="S240" i="1"/>
  <c r="W240" i="1" s="1"/>
  <c r="T240" i="1"/>
  <c r="U240" i="1"/>
  <c r="V240" i="1"/>
  <c r="G241" i="1"/>
  <c r="L241" i="1"/>
  <c r="M241" i="1"/>
  <c r="N241" i="1"/>
  <c r="O241" i="1"/>
  <c r="P241" i="1"/>
  <c r="R241" i="1" s="1"/>
  <c r="Q241" i="1"/>
  <c r="S241" i="1"/>
  <c r="V241" i="1"/>
  <c r="G242" i="1"/>
  <c r="L242" i="1"/>
  <c r="M242" i="1"/>
  <c r="N242" i="1"/>
  <c r="R242" i="1" s="1"/>
  <c r="O242" i="1"/>
  <c r="P242" i="1"/>
  <c r="Q242" i="1"/>
  <c r="S242" i="1"/>
  <c r="T242" i="1"/>
  <c r="V242" i="1"/>
  <c r="G243" i="1"/>
  <c r="N243" i="1" s="1"/>
  <c r="R243" i="1" s="1"/>
  <c r="L243" i="1"/>
  <c r="M243" i="1"/>
  <c r="O243" i="1"/>
  <c r="P243" i="1"/>
  <c r="Q243" i="1"/>
  <c r="S243" i="1"/>
  <c r="V243" i="1"/>
  <c r="W243" i="1"/>
  <c r="G244" i="1"/>
  <c r="N244" i="1" s="1"/>
  <c r="L244" i="1"/>
  <c r="M244" i="1"/>
  <c r="O244" i="1"/>
  <c r="P244" i="1"/>
  <c r="Q244" i="1"/>
  <c r="S244" i="1"/>
  <c r="T244" i="1"/>
  <c r="U244" i="1"/>
  <c r="V244" i="1"/>
  <c r="W244" i="1"/>
  <c r="G245" i="1"/>
  <c r="L245" i="1"/>
  <c r="M245" i="1"/>
  <c r="N245" i="1"/>
  <c r="O245" i="1"/>
  <c r="P245" i="1"/>
  <c r="Q245" i="1"/>
  <c r="S245" i="1"/>
  <c r="W245" i="1"/>
  <c r="G246" i="1"/>
  <c r="N246" i="1" s="1"/>
  <c r="L246" i="1"/>
  <c r="R246" i="1" s="1"/>
  <c r="M246" i="1"/>
  <c r="O246" i="1"/>
  <c r="P246" i="1"/>
  <c r="Q246" i="1"/>
  <c r="S246" i="1"/>
  <c r="T246" i="1"/>
  <c r="U246" i="1"/>
  <c r="V246" i="1"/>
  <c r="W246" i="1"/>
  <c r="G247" i="1"/>
  <c r="L247" i="1"/>
  <c r="M247" i="1"/>
  <c r="N247" i="1"/>
  <c r="O247" i="1"/>
  <c r="P247" i="1"/>
  <c r="Q247" i="1"/>
  <c r="S247" i="1"/>
  <c r="V247" i="1" s="1"/>
  <c r="T247" i="1"/>
  <c r="U247" i="1"/>
  <c r="W247" i="1"/>
  <c r="G248" i="1"/>
  <c r="L248" i="1"/>
  <c r="M248" i="1"/>
  <c r="N248" i="1"/>
  <c r="O248" i="1"/>
  <c r="P248" i="1"/>
  <c r="Q248" i="1"/>
  <c r="S248" i="1"/>
  <c r="T248" i="1"/>
  <c r="G249" i="1"/>
  <c r="L249" i="1"/>
  <c r="M249" i="1"/>
  <c r="N249" i="1"/>
  <c r="O249" i="1"/>
  <c r="P249" i="1"/>
  <c r="Q249" i="1"/>
  <c r="S249" i="1"/>
  <c r="T249" i="1" s="1"/>
  <c r="U249" i="1"/>
  <c r="V249" i="1"/>
  <c r="W249" i="1"/>
  <c r="G250" i="1"/>
  <c r="N250" i="1" s="1"/>
  <c r="L250" i="1"/>
  <c r="M250" i="1"/>
  <c r="O250" i="1"/>
  <c r="P250" i="1"/>
  <c r="Q250" i="1"/>
  <c r="R250" i="1"/>
  <c r="S250" i="1"/>
  <c r="G251" i="1"/>
  <c r="L251" i="1"/>
  <c r="M251" i="1"/>
  <c r="N251" i="1"/>
  <c r="O251" i="1"/>
  <c r="P251" i="1"/>
  <c r="Q251" i="1"/>
  <c r="S251" i="1"/>
  <c r="G252" i="1"/>
  <c r="L252" i="1"/>
  <c r="M252" i="1"/>
  <c r="N252" i="1"/>
  <c r="O252" i="1"/>
  <c r="P252" i="1"/>
  <c r="Q252" i="1"/>
  <c r="S252" i="1"/>
  <c r="W252" i="1"/>
  <c r="G253" i="1"/>
  <c r="N253" i="1" s="1"/>
  <c r="R253" i="1" s="1"/>
  <c r="L253" i="1"/>
  <c r="M253" i="1"/>
  <c r="O253" i="1"/>
  <c r="P253" i="1"/>
  <c r="Q253" i="1"/>
  <c r="S253" i="1"/>
  <c r="T253" i="1" s="1"/>
  <c r="U253" i="1"/>
  <c r="V253" i="1"/>
  <c r="W253" i="1"/>
  <c r="G254" i="1"/>
  <c r="L254" i="1"/>
  <c r="R254" i="1" s="1"/>
  <c r="M254" i="1"/>
  <c r="N254" i="1"/>
  <c r="O254" i="1"/>
  <c r="P254" i="1"/>
  <c r="Q254" i="1"/>
  <c r="S254" i="1"/>
  <c r="U254" i="1" s="1"/>
  <c r="G255" i="1"/>
  <c r="N255" i="1" s="1"/>
  <c r="L255" i="1"/>
  <c r="R255" i="1" s="1"/>
  <c r="M255" i="1"/>
  <c r="O255" i="1"/>
  <c r="P255" i="1"/>
  <c r="Q255" i="1"/>
  <c r="S255" i="1"/>
  <c r="W255" i="1" s="1"/>
  <c r="G256" i="1"/>
  <c r="N256" i="1" s="1"/>
  <c r="R256" i="1" s="1"/>
  <c r="L256" i="1"/>
  <c r="M256" i="1"/>
  <c r="O256" i="1"/>
  <c r="P256" i="1"/>
  <c r="Q256" i="1"/>
  <c r="S256" i="1"/>
  <c r="G257" i="1"/>
  <c r="L257" i="1"/>
  <c r="M257" i="1"/>
  <c r="N257" i="1"/>
  <c r="O257" i="1"/>
  <c r="P257" i="1"/>
  <c r="Q257" i="1"/>
  <c r="S257" i="1"/>
  <c r="T257" i="1" s="1"/>
  <c r="U257" i="1"/>
  <c r="V257" i="1"/>
  <c r="W257" i="1"/>
  <c r="G258" i="1"/>
  <c r="N258" i="1" s="1"/>
  <c r="L258" i="1"/>
  <c r="R258" i="1" s="1"/>
  <c r="M258" i="1"/>
  <c r="O258" i="1"/>
  <c r="P258" i="1"/>
  <c r="Q258" i="1"/>
  <c r="S258" i="1"/>
  <c r="G259" i="1"/>
  <c r="L259" i="1"/>
  <c r="R259" i="1" s="1"/>
  <c r="M259" i="1"/>
  <c r="N259" i="1"/>
  <c r="O259" i="1"/>
  <c r="P259" i="1"/>
  <c r="Q259" i="1"/>
  <c r="S259" i="1"/>
  <c r="T259" i="1" s="1"/>
  <c r="U259" i="1"/>
  <c r="V259" i="1"/>
  <c r="W259" i="1"/>
  <c r="G260" i="1"/>
  <c r="N260" i="1" s="1"/>
  <c r="L260" i="1"/>
  <c r="M260" i="1"/>
  <c r="O260" i="1"/>
  <c r="P260" i="1"/>
  <c r="Q260" i="1"/>
  <c r="S260" i="1"/>
  <c r="T260" i="1"/>
  <c r="U260" i="1"/>
  <c r="V260" i="1"/>
  <c r="W260" i="1"/>
  <c r="G261" i="1"/>
  <c r="N261" i="1" s="1"/>
  <c r="L261" i="1"/>
  <c r="M261" i="1"/>
  <c r="O261" i="1"/>
  <c r="P261" i="1"/>
  <c r="Q261" i="1"/>
  <c r="S261" i="1"/>
  <c r="T261" i="1" s="1"/>
  <c r="G262" i="1"/>
  <c r="L262" i="1"/>
  <c r="M262" i="1"/>
  <c r="N262" i="1"/>
  <c r="O262" i="1"/>
  <c r="P262" i="1"/>
  <c r="Q262" i="1"/>
  <c r="S262" i="1"/>
  <c r="T262" i="1"/>
  <c r="U262" i="1"/>
  <c r="V262" i="1"/>
  <c r="W262" i="1"/>
  <c r="G263" i="1"/>
  <c r="N263" i="1" s="1"/>
  <c r="L263" i="1"/>
  <c r="M263" i="1"/>
  <c r="O263" i="1"/>
  <c r="P263" i="1"/>
  <c r="Q263" i="1"/>
  <c r="S263" i="1"/>
  <c r="T263" i="1"/>
  <c r="G264" i="1"/>
  <c r="L264" i="1"/>
  <c r="M264" i="1"/>
  <c r="N264" i="1"/>
  <c r="O264" i="1"/>
  <c r="P264" i="1"/>
  <c r="Q264" i="1"/>
  <c r="S264" i="1"/>
  <c r="G265" i="1"/>
  <c r="N265" i="1" s="1"/>
  <c r="L265" i="1"/>
  <c r="M265" i="1"/>
  <c r="O265" i="1"/>
  <c r="P265" i="1"/>
  <c r="Q265" i="1"/>
  <c r="S265" i="1"/>
  <c r="T265" i="1"/>
  <c r="G266" i="1"/>
  <c r="N266" i="1" s="1"/>
  <c r="L266" i="1"/>
  <c r="M266" i="1"/>
  <c r="O266" i="1"/>
  <c r="P266" i="1"/>
  <c r="Q266" i="1"/>
  <c r="S266" i="1"/>
  <c r="U266" i="1" s="1"/>
  <c r="T266" i="1"/>
  <c r="V266" i="1"/>
  <c r="W266" i="1"/>
  <c r="G267" i="1"/>
  <c r="L267" i="1"/>
  <c r="M267" i="1"/>
  <c r="N267" i="1"/>
  <c r="O267" i="1"/>
  <c r="P267" i="1"/>
  <c r="Q267" i="1"/>
  <c r="S267" i="1"/>
  <c r="G268" i="1"/>
  <c r="L268" i="1"/>
  <c r="M268" i="1"/>
  <c r="N268" i="1"/>
  <c r="O268" i="1"/>
  <c r="P268" i="1"/>
  <c r="Q268" i="1"/>
  <c r="S268" i="1"/>
  <c r="T268" i="1"/>
  <c r="W268" i="1"/>
  <c r="G269" i="1"/>
  <c r="N269" i="1" s="1"/>
  <c r="L269" i="1"/>
  <c r="M269" i="1"/>
  <c r="O269" i="1"/>
  <c r="P269" i="1"/>
  <c r="Q269" i="1"/>
  <c r="R269" i="1"/>
  <c r="S269" i="1"/>
  <c r="U269" i="1" s="1"/>
  <c r="G270" i="1"/>
  <c r="L270" i="1"/>
  <c r="M270" i="1"/>
  <c r="N270" i="1"/>
  <c r="O270" i="1"/>
  <c r="P270" i="1"/>
  <c r="Q270" i="1"/>
  <c r="S270" i="1"/>
  <c r="T270" i="1"/>
  <c r="U270" i="1"/>
  <c r="V270" i="1"/>
  <c r="W270" i="1"/>
  <c r="G271" i="1"/>
  <c r="N271" i="1" s="1"/>
  <c r="L271" i="1"/>
  <c r="M271" i="1"/>
  <c r="R271" i="1" s="1"/>
  <c r="O271" i="1"/>
  <c r="P271" i="1"/>
  <c r="Q271" i="1"/>
  <c r="S271" i="1"/>
  <c r="V271" i="1"/>
  <c r="G272" i="1"/>
  <c r="L272" i="1"/>
  <c r="M272" i="1"/>
  <c r="N272" i="1"/>
  <c r="O272" i="1"/>
  <c r="P272" i="1"/>
  <c r="Q272" i="1"/>
  <c r="R272" i="1"/>
  <c r="S272" i="1"/>
  <c r="W272" i="1" s="1"/>
  <c r="T272" i="1"/>
  <c r="U272" i="1"/>
  <c r="V272" i="1"/>
  <c r="G273" i="1"/>
  <c r="N273" i="1" s="1"/>
  <c r="L273" i="1"/>
  <c r="M273" i="1"/>
  <c r="O273" i="1"/>
  <c r="P273" i="1"/>
  <c r="Q273" i="1"/>
  <c r="S273" i="1"/>
  <c r="U273" i="1" s="1"/>
  <c r="G274" i="1"/>
  <c r="L274" i="1"/>
  <c r="M274" i="1"/>
  <c r="N274" i="1"/>
  <c r="O274" i="1"/>
  <c r="P274" i="1"/>
  <c r="Q274" i="1"/>
  <c r="S274" i="1"/>
  <c r="W274" i="1" s="1"/>
  <c r="T274" i="1"/>
  <c r="U274" i="1"/>
  <c r="V274" i="1"/>
  <c r="G275" i="1"/>
  <c r="N275" i="1" s="1"/>
  <c r="L275" i="1"/>
  <c r="R275" i="1" s="1"/>
  <c r="M275" i="1"/>
  <c r="O275" i="1"/>
  <c r="P275" i="1"/>
  <c r="Q275" i="1"/>
  <c r="S275" i="1"/>
  <c r="U275" i="1"/>
  <c r="G276" i="1"/>
  <c r="N276" i="1" s="1"/>
  <c r="L276" i="1"/>
  <c r="R276" i="1" s="1"/>
  <c r="M276" i="1"/>
  <c r="O276" i="1"/>
  <c r="P276" i="1"/>
  <c r="Q276" i="1"/>
  <c r="S276" i="1"/>
  <c r="T276" i="1"/>
  <c r="U276" i="1"/>
  <c r="V276" i="1"/>
  <c r="W276" i="1"/>
  <c r="G277" i="1"/>
  <c r="L277" i="1"/>
  <c r="M277" i="1"/>
  <c r="N277" i="1"/>
  <c r="R277" i="1" s="1"/>
  <c r="O277" i="1"/>
  <c r="P277" i="1"/>
  <c r="Q277" i="1"/>
  <c r="S277" i="1"/>
  <c r="V277" i="1" s="1"/>
  <c r="T277" i="1"/>
  <c r="U277" i="1"/>
  <c r="W277" i="1"/>
  <c r="G278" i="1"/>
  <c r="N278" i="1" s="1"/>
  <c r="L278" i="1"/>
  <c r="M278" i="1"/>
  <c r="R278" i="1" s="1"/>
  <c r="O278" i="1"/>
  <c r="P278" i="1"/>
  <c r="Q278" i="1"/>
  <c r="S278" i="1"/>
  <c r="T278" i="1"/>
  <c r="U278" i="1"/>
  <c r="V278" i="1"/>
  <c r="W278" i="1"/>
  <c r="G279" i="1"/>
  <c r="N279" i="1" s="1"/>
  <c r="R279" i="1" s="1"/>
  <c r="L279" i="1"/>
  <c r="M279" i="1"/>
  <c r="O279" i="1"/>
  <c r="P279" i="1"/>
  <c r="Q279" i="1"/>
  <c r="S279" i="1"/>
  <c r="V279" i="1" s="1"/>
  <c r="U279" i="1"/>
  <c r="W279" i="1"/>
  <c r="G280" i="1"/>
  <c r="N280" i="1" s="1"/>
  <c r="L280" i="1"/>
  <c r="M280" i="1"/>
  <c r="O280" i="1"/>
  <c r="P280" i="1"/>
  <c r="Q280" i="1"/>
  <c r="R280" i="1"/>
  <c r="S280" i="1"/>
  <c r="V280" i="1" s="1"/>
  <c r="T280" i="1"/>
  <c r="G281" i="1"/>
  <c r="L281" i="1"/>
  <c r="M281" i="1"/>
  <c r="N281" i="1"/>
  <c r="O281" i="1"/>
  <c r="P281" i="1"/>
  <c r="Q281" i="1"/>
  <c r="S281" i="1"/>
  <c r="U281" i="1" s="1"/>
  <c r="T281" i="1"/>
  <c r="V281" i="1"/>
  <c r="W281" i="1"/>
  <c r="G282" i="1"/>
  <c r="N282" i="1" s="1"/>
  <c r="R282" i="1" s="1"/>
  <c r="L282" i="1"/>
  <c r="M282" i="1"/>
  <c r="O282" i="1"/>
  <c r="P282" i="1"/>
  <c r="Q282" i="1"/>
  <c r="S282" i="1"/>
  <c r="T282" i="1"/>
  <c r="W282" i="1"/>
  <c r="G283" i="1"/>
  <c r="N283" i="1" s="1"/>
  <c r="L283" i="1"/>
  <c r="M283" i="1"/>
  <c r="O283" i="1"/>
  <c r="P283" i="1"/>
  <c r="Q283" i="1"/>
  <c r="S283" i="1"/>
  <c r="T283" i="1" s="1"/>
  <c r="U283" i="1"/>
  <c r="V283" i="1"/>
  <c r="W283" i="1"/>
  <c r="G284" i="1"/>
  <c r="L284" i="1"/>
  <c r="M284" i="1"/>
  <c r="N284" i="1"/>
  <c r="O284" i="1"/>
  <c r="P284" i="1"/>
  <c r="Q284" i="1"/>
  <c r="R284" i="1" s="1"/>
  <c r="S284" i="1"/>
  <c r="V284" i="1"/>
  <c r="G285" i="1"/>
  <c r="N285" i="1" s="1"/>
  <c r="L285" i="1"/>
  <c r="R285" i="1" s="1"/>
  <c r="M285" i="1"/>
  <c r="O285" i="1"/>
  <c r="P285" i="1"/>
  <c r="Q285" i="1"/>
  <c r="S285" i="1"/>
  <c r="U285" i="1" s="1"/>
  <c r="W285" i="1"/>
  <c r="G286" i="1"/>
  <c r="L286" i="1"/>
  <c r="M286" i="1"/>
  <c r="N286" i="1"/>
  <c r="O286" i="1"/>
  <c r="P286" i="1"/>
  <c r="Q286" i="1"/>
  <c r="S286" i="1"/>
  <c r="U286" i="1" s="1"/>
  <c r="W286" i="1"/>
  <c r="G287" i="1"/>
  <c r="N287" i="1" s="1"/>
  <c r="L287" i="1"/>
  <c r="M287" i="1"/>
  <c r="O287" i="1"/>
  <c r="P287" i="1"/>
  <c r="Q287" i="1"/>
  <c r="S287" i="1"/>
  <c r="T287" i="1" s="1"/>
  <c r="U287" i="1"/>
  <c r="V287" i="1"/>
  <c r="W287" i="1"/>
  <c r="G288" i="1"/>
  <c r="N288" i="1" s="1"/>
  <c r="L288" i="1"/>
  <c r="M288" i="1"/>
  <c r="O288" i="1"/>
  <c r="P288" i="1"/>
  <c r="Q288" i="1"/>
  <c r="S288" i="1"/>
  <c r="U288" i="1"/>
  <c r="G289" i="1"/>
  <c r="L289" i="1"/>
  <c r="M289" i="1"/>
  <c r="N289" i="1"/>
  <c r="O289" i="1"/>
  <c r="P289" i="1"/>
  <c r="Q289" i="1"/>
  <c r="S289" i="1"/>
  <c r="T289" i="1" s="1"/>
  <c r="W289" i="1"/>
  <c r="G290" i="1"/>
  <c r="N290" i="1" s="1"/>
  <c r="L290" i="1"/>
  <c r="M290" i="1"/>
  <c r="O290" i="1"/>
  <c r="P290" i="1"/>
  <c r="Q290" i="1"/>
  <c r="R290" i="1"/>
  <c r="S290" i="1"/>
  <c r="T290" i="1"/>
  <c r="V290" i="1"/>
  <c r="G291" i="1"/>
  <c r="N291" i="1" s="1"/>
  <c r="L291" i="1"/>
  <c r="M291" i="1"/>
  <c r="O291" i="1"/>
  <c r="P291" i="1"/>
  <c r="Q291" i="1"/>
  <c r="S291" i="1"/>
  <c r="T291" i="1"/>
  <c r="U291" i="1"/>
  <c r="V291" i="1"/>
  <c r="W291" i="1"/>
  <c r="G292" i="1"/>
  <c r="N292" i="1" s="1"/>
  <c r="R292" i="1" s="1"/>
  <c r="L292" i="1"/>
  <c r="M292" i="1"/>
  <c r="O292" i="1"/>
  <c r="P292" i="1"/>
  <c r="Q292" i="1"/>
  <c r="S292" i="1"/>
  <c r="T292" i="1"/>
  <c r="U292" i="1"/>
  <c r="V292" i="1"/>
  <c r="W292" i="1"/>
  <c r="G293" i="1"/>
  <c r="L293" i="1"/>
  <c r="M293" i="1"/>
  <c r="N293" i="1"/>
  <c r="O293" i="1"/>
  <c r="P293" i="1"/>
  <c r="Q293" i="1"/>
  <c r="S293" i="1"/>
  <c r="U293" i="1" s="1"/>
  <c r="T293" i="1"/>
  <c r="G294" i="1"/>
  <c r="N294" i="1" s="1"/>
  <c r="L294" i="1"/>
  <c r="M294" i="1"/>
  <c r="O294" i="1"/>
  <c r="P294" i="1"/>
  <c r="Q294" i="1"/>
  <c r="S294" i="1"/>
  <c r="T294" i="1"/>
  <c r="U294" i="1"/>
  <c r="V294" i="1"/>
  <c r="W294" i="1"/>
  <c r="G295" i="1"/>
  <c r="N295" i="1" s="1"/>
  <c r="L295" i="1"/>
  <c r="M295" i="1"/>
  <c r="O295" i="1"/>
  <c r="P295" i="1"/>
  <c r="Q295" i="1"/>
  <c r="R295" i="1"/>
  <c r="S295" i="1"/>
  <c r="T295" i="1" s="1"/>
  <c r="G296" i="1"/>
  <c r="L296" i="1"/>
  <c r="R296" i="1" s="1"/>
  <c r="M296" i="1"/>
  <c r="N296" i="1"/>
  <c r="O296" i="1"/>
  <c r="P296" i="1"/>
  <c r="Q296" i="1"/>
  <c r="S296" i="1"/>
  <c r="T296" i="1" s="1"/>
  <c r="U296" i="1"/>
  <c r="V296" i="1"/>
  <c r="W296" i="1"/>
  <c r="G297" i="1"/>
  <c r="N297" i="1" s="1"/>
  <c r="L297" i="1"/>
  <c r="M297" i="1"/>
  <c r="O297" i="1"/>
  <c r="P297" i="1"/>
  <c r="Q297" i="1"/>
  <c r="S297" i="1"/>
  <c r="T297" i="1"/>
  <c r="G298" i="1"/>
  <c r="L298" i="1"/>
  <c r="M298" i="1"/>
  <c r="N298" i="1"/>
  <c r="O298" i="1"/>
  <c r="P298" i="1"/>
  <c r="Q298" i="1"/>
  <c r="R298" i="1"/>
  <c r="S298" i="1"/>
  <c r="T298" i="1"/>
  <c r="V298" i="1"/>
  <c r="G299" i="1"/>
  <c r="N299" i="1" s="1"/>
  <c r="L299" i="1"/>
  <c r="M299" i="1"/>
  <c r="O299" i="1"/>
  <c r="P299" i="1"/>
  <c r="Q299" i="1"/>
  <c r="S299" i="1"/>
  <c r="V299" i="1" s="1"/>
  <c r="T299" i="1"/>
  <c r="U299" i="1"/>
  <c r="G300" i="1"/>
  <c r="L300" i="1"/>
  <c r="M300" i="1"/>
  <c r="N300" i="1"/>
  <c r="O300" i="1"/>
  <c r="P300" i="1"/>
  <c r="Q300" i="1"/>
  <c r="S300" i="1"/>
  <c r="T300" i="1"/>
  <c r="U300" i="1"/>
  <c r="V300" i="1"/>
  <c r="W300" i="1"/>
  <c r="G301" i="1"/>
  <c r="N301" i="1" s="1"/>
  <c r="L301" i="1"/>
  <c r="M301" i="1"/>
  <c r="O301" i="1"/>
  <c r="P301" i="1"/>
  <c r="Q301" i="1"/>
  <c r="R301" i="1"/>
  <c r="S301" i="1"/>
  <c r="U301" i="1" s="1"/>
  <c r="T301" i="1"/>
  <c r="W301" i="1"/>
  <c r="G302" i="1"/>
  <c r="L302" i="1"/>
  <c r="R302" i="1" s="1"/>
  <c r="M302" i="1"/>
  <c r="N302" i="1"/>
  <c r="O302" i="1"/>
  <c r="P302" i="1"/>
  <c r="Q302" i="1"/>
  <c r="S302" i="1"/>
  <c r="V302" i="1" s="1"/>
  <c r="T302" i="1"/>
  <c r="U302" i="1"/>
  <c r="W302" i="1"/>
  <c r="G303" i="1"/>
  <c r="L303" i="1"/>
  <c r="M303" i="1"/>
  <c r="R303" i="1" s="1"/>
  <c r="N303" i="1"/>
  <c r="O303" i="1"/>
  <c r="P303" i="1"/>
  <c r="Q303" i="1"/>
  <c r="S303" i="1"/>
  <c r="V303" i="1"/>
  <c r="W303" i="1"/>
  <c r="G304" i="1"/>
  <c r="N304" i="1" s="1"/>
  <c r="L304" i="1"/>
  <c r="M304" i="1"/>
  <c r="O304" i="1"/>
  <c r="P304" i="1"/>
  <c r="Q304" i="1"/>
  <c r="R304" i="1"/>
  <c r="S304" i="1"/>
  <c r="T304" i="1"/>
  <c r="G305" i="1"/>
  <c r="L305" i="1"/>
  <c r="M305" i="1"/>
  <c r="N305" i="1"/>
  <c r="O305" i="1"/>
  <c r="P305" i="1"/>
  <c r="Q305" i="1"/>
  <c r="S305" i="1"/>
  <c r="V305" i="1" s="1"/>
  <c r="T305" i="1"/>
  <c r="U305" i="1"/>
  <c r="W305" i="1"/>
  <c r="G306" i="1"/>
  <c r="L306" i="1"/>
  <c r="M306" i="1"/>
  <c r="N306" i="1"/>
  <c r="O306" i="1"/>
  <c r="P306" i="1"/>
  <c r="Q306" i="1"/>
  <c r="S306" i="1"/>
  <c r="V306" i="1"/>
  <c r="G307" i="1"/>
  <c r="N307" i="1" s="1"/>
  <c r="L307" i="1"/>
  <c r="R307" i="1" s="1"/>
  <c r="M307" i="1"/>
  <c r="O307" i="1"/>
  <c r="P307" i="1"/>
  <c r="Q307" i="1"/>
  <c r="S307" i="1"/>
  <c r="T307" i="1" s="1"/>
  <c r="G308" i="1"/>
  <c r="L308" i="1"/>
  <c r="M308" i="1"/>
  <c r="N308" i="1"/>
  <c r="O308" i="1"/>
  <c r="P308" i="1"/>
  <c r="Q308" i="1"/>
  <c r="S308" i="1"/>
  <c r="G309" i="1"/>
  <c r="N309" i="1" s="1"/>
  <c r="L309" i="1"/>
  <c r="M309" i="1"/>
  <c r="O309" i="1"/>
  <c r="P309" i="1"/>
  <c r="Q309" i="1"/>
  <c r="R309" i="1"/>
  <c r="S309" i="1"/>
  <c r="W309" i="1"/>
  <c r="G310" i="1"/>
  <c r="N310" i="1" s="1"/>
  <c r="L310" i="1"/>
  <c r="M310" i="1"/>
  <c r="O310" i="1"/>
  <c r="P310" i="1"/>
  <c r="Q310" i="1"/>
  <c r="S310" i="1"/>
  <c r="W310" i="1" s="1"/>
  <c r="T310" i="1"/>
  <c r="V310" i="1"/>
  <c r="G311" i="1"/>
  <c r="L311" i="1"/>
  <c r="M311" i="1"/>
  <c r="N311" i="1"/>
  <c r="R311" i="1" s="1"/>
  <c r="O311" i="1"/>
  <c r="P311" i="1"/>
  <c r="Q311" i="1"/>
  <c r="S311" i="1"/>
  <c r="T311" i="1" s="1"/>
  <c r="U311" i="1"/>
  <c r="V311" i="1"/>
  <c r="W311" i="1"/>
  <c r="G312" i="1"/>
  <c r="N312" i="1" s="1"/>
  <c r="L312" i="1"/>
  <c r="R312" i="1" s="1"/>
  <c r="M312" i="1"/>
  <c r="O312" i="1"/>
  <c r="P312" i="1"/>
  <c r="Q312" i="1"/>
  <c r="S312" i="1"/>
  <c r="G313" i="1"/>
  <c r="N313" i="1" s="1"/>
  <c r="L313" i="1"/>
  <c r="R313" i="1" s="1"/>
  <c r="M313" i="1"/>
  <c r="O313" i="1"/>
  <c r="P313" i="1"/>
  <c r="Q313" i="1"/>
  <c r="S313" i="1"/>
  <c r="W313" i="1" s="1"/>
  <c r="T313" i="1"/>
  <c r="U313" i="1"/>
  <c r="V313" i="1"/>
  <c r="G314" i="1"/>
  <c r="L314" i="1"/>
  <c r="M314" i="1"/>
  <c r="N314" i="1"/>
  <c r="O314" i="1"/>
  <c r="P314" i="1"/>
  <c r="Q314" i="1"/>
  <c r="S314" i="1"/>
  <c r="T314" i="1"/>
  <c r="U314" i="1"/>
  <c r="V314" i="1"/>
  <c r="W314" i="1"/>
  <c r="G315" i="1"/>
  <c r="N315" i="1" s="1"/>
  <c r="L315" i="1"/>
  <c r="R315" i="1" s="1"/>
  <c r="M315" i="1"/>
  <c r="O315" i="1"/>
  <c r="P315" i="1"/>
  <c r="Q315" i="1"/>
  <c r="S315" i="1"/>
  <c r="U315" i="1" s="1"/>
  <c r="T315" i="1"/>
  <c r="G316" i="1"/>
  <c r="N316" i="1" s="1"/>
  <c r="L316" i="1"/>
  <c r="M316" i="1"/>
  <c r="O316" i="1"/>
  <c r="P316" i="1"/>
  <c r="Q316" i="1"/>
  <c r="S316" i="1"/>
  <c r="T316" i="1"/>
  <c r="U316" i="1"/>
  <c r="V316" i="1"/>
  <c r="W316" i="1"/>
  <c r="G317" i="1"/>
  <c r="L317" i="1"/>
  <c r="M317" i="1"/>
  <c r="N317" i="1"/>
  <c r="O317" i="1"/>
  <c r="P317" i="1"/>
  <c r="Q317" i="1"/>
  <c r="S317" i="1"/>
  <c r="T317" i="1"/>
  <c r="W317" i="1"/>
  <c r="G318" i="1"/>
  <c r="N318" i="1" s="1"/>
  <c r="L318" i="1"/>
  <c r="R318" i="1" s="1"/>
  <c r="M318" i="1"/>
  <c r="O318" i="1"/>
  <c r="P318" i="1"/>
  <c r="Q318" i="1"/>
  <c r="S318" i="1"/>
  <c r="U318" i="1" s="1"/>
  <c r="T318" i="1"/>
  <c r="W318" i="1"/>
  <c r="G319" i="1"/>
  <c r="L319" i="1"/>
  <c r="M319" i="1"/>
  <c r="N319" i="1"/>
  <c r="O319" i="1"/>
  <c r="P319" i="1"/>
  <c r="Q319" i="1"/>
  <c r="S319" i="1"/>
  <c r="V319" i="1" s="1"/>
  <c r="U319" i="1"/>
  <c r="G320" i="1"/>
  <c r="L320" i="1"/>
  <c r="M320" i="1"/>
  <c r="N320" i="1"/>
  <c r="R320" i="1" s="1"/>
  <c r="O320" i="1"/>
  <c r="P320" i="1"/>
  <c r="Q320" i="1"/>
  <c r="S320" i="1"/>
  <c r="U320" i="1" s="1"/>
  <c r="T320" i="1"/>
  <c r="V320" i="1"/>
  <c r="W320" i="1"/>
  <c r="G321" i="1"/>
  <c r="N321" i="1" s="1"/>
  <c r="L321" i="1"/>
  <c r="M321" i="1"/>
  <c r="O321" i="1"/>
  <c r="P321" i="1"/>
  <c r="Q321" i="1"/>
  <c r="S321" i="1"/>
  <c r="T321" i="1" s="1"/>
  <c r="G322" i="1"/>
  <c r="L322" i="1"/>
  <c r="M322" i="1"/>
  <c r="N322" i="1"/>
  <c r="O322" i="1"/>
  <c r="P322" i="1"/>
  <c r="Q322" i="1"/>
  <c r="S322" i="1"/>
  <c r="W322" i="1"/>
  <c r="G323" i="1"/>
  <c r="N323" i="1" s="1"/>
  <c r="L323" i="1"/>
  <c r="M323" i="1"/>
  <c r="O323" i="1"/>
  <c r="P323" i="1"/>
  <c r="Q323" i="1"/>
  <c r="S323" i="1"/>
  <c r="W323" i="1" s="1"/>
  <c r="U323" i="1"/>
  <c r="V323" i="1"/>
  <c r="G324" i="1"/>
  <c r="L324" i="1"/>
  <c r="M324" i="1"/>
  <c r="N324" i="1"/>
  <c r="O324" i="1"/>
  <c r="R324" i="1" s="1"/>
  <c r="P324" i="1"/>
  <c r="Q324" i="1"/>
  <c r="S324" i="1"/>
  <c r="T324" i="1" s="1"/>
  <c r="G325" i="1"/>
  <c r="N325" i="1" s="1"/>
  <c r="L325" i="1"/>
  <c r="M325" i="1"/>
  <c r="O325" i="1"/>
  <c r="P325" i="1"/>
  <c r="Q325" i="1"/>
  <c r="S325" i="1"/>
  <c r="V325" i="1" s="1"/>
  <c r="G326" i="1"/>
  <c r="N326" i="1" s="1"/>
  <c r="L326" i="1"/>
  <c r="M326" i="1"/>
  <c r="O326" i="1"/>
  <c r="P326" i="1"/>
  <c r="Q326" i="1"/>
  <c r="S326" i="1"/>
  <c r="V326" i="1" s="1"/>
  <c r="U326" i="1"/>
  <c r="G327" i="1"/>
  <c r="L327" i="1"/>
  <c r="M327" i="1"/>
  <c r="N327" i="1"/>
  <c r="O327" i="1"/>
  <c r="P327" i="1"/>
  <c r="Q327" i="1"/>
  <c r="R327" i="1"/>
  <c r="S327" i="1"/>
  <c r="T327" i="1" s="1"/>
  <c r="U327" i="1"/>
  <c r="V327" i="1"/>
  <c r="G328" i="1"/>
  <c r="L328" i="1"/>
  <c r="M328" i="1"/>
  <c r="N328" i="1"/>
  <c r="R328" i="1" s="1"/>
  <c r="O328" i="1"/>
  <c r="P328" i="1"/>
  <c r="Q328" i="1"/>
  <c r="S328" i="1"/>
  <c r="W328" i="1" s="1"/>
  <c r="T328" i="1"/>
  <c r="U328" i="1"/>
  <c r="V328" i="1"/>
  <c r="G329" i="1"/>
  <c r="N329" i="1" s="1"/>
  <c r="L329" i="1"/>
  <c r="M329" i="1"/>
  <c r="O329" i="1"/>
  <c r="P329" i="1"/>
  <c r="Q329" i="1"/>
  <c r="R329" i="1"/>
  <c r="S329" i="1"/>
  <c r="V329" i="1"/>
  <c r="G330" i="1"/>
  <c r="L330" i="1"/>
  <c r="R330" i="1" s="1"/>
  <c r="M330" i="1"/>
  <c r="N330" i="1"/>
  <c r="O330" i="1"/>
  <c r="P330" i="1"/>
  <c r="Q330" i="1"/>
  <c r="S330" i="1"/>
  <c r="T330" i="1"/>
  <c r="U330" i="1"/>
  <c r="V330" i="1"/>
  <c r="W330" i="1"/>
  <c r="G331" i="1"/>
  <c r="L331" i="1"/>
  <c r="M331" i="1"/>
  <c r="N331" i="1"/>
  <c r="O331" i="1"/>
  <c r="P331" i="1"/>
  <c r="Q331" i="1"/>
  <c r="S331" i="1"/>
  <c r="T331" i="1" s="1"/>
  <c r="G332" i="1"/>
  <c r="N332" i="1" s="1"/>
  <c r="L332" i="1"/>
  <c r="M332" i="1"/>
  <c r="R332" i="1" s="1"/>
  <c r="O332" i="1"/>
  <c r="P332" i="1"/>
  <c r="Q332" i="1"/>
  <c r="S332" i="1"/>
  <c r="T332" i="1"/>
  <c r="U332" i="1"/>
  <c r="V332" i="1"/>
  <c r="W332" i="1"/>
  <c r="G333" i="1"/>
  <c r="N333" i="1" s="1"/>
  <c r="L333" i="1"/>
  <c r="M333" i="1"/>
  <c r="O333" i="1"/>
  <c r="P333" i="1"/>
  <c r="Q333" i="1"/>
  <c r="R333" i="1"/>
  <c r="S333" i="1"/>
  <c r="W333" i="1" s="1"/>
  <c r="U333" i="1"/>
  <c r="G334" i="1"/>
  <c r="L334" i="1"/>
  <c r="M334" i="1"/>
  <c r="N334" i="1"/>
  <c r="O334" i="1"/>
  <c r="P334" i="1"/>
  <c r="Q334" i="1"/>
  <c r="S334" i="1"/>
  <c r="T334" i="1"/>
  <c r="U334" i="1"/>
  <c r="V334" i="1"/>
  <c r="W334" i="1"/>
  <c r="G335" i="1"/>
  <c r="L335" i="1"/>
  <c r="M335" i="1"/>
  <c r="N335" i="1"/>
  <c r="O335" i="1"/>
  <c r="P335" i="1"/>
  <c r="Q335" i="1"/>
  <c r="S335" i="1"/>
  <c r="U335" i="1" s="1"/>
  <c r="T335" i="1"/>
  <c r="G336" i="1"/>
  <c r="L336" i="1"/>
  <c r="M336" i="1"/>
  <c r="N336" i="1"/>
  <c r="O336" i="1"/>
  <c r="P336" i="1"/>
  <c r="Q336" i="1"/>
  <c r="R336" i="1"/>
  <c r="S336" i="1"/>
  <c r="U336" i="1" s="1"/>
  <c r="T336" i="1"/>
  <c r="V336" i="1"/>
  <c r="W336" i="1"/>
  <c r="G337" i="1"/>
  <c r="N337" i="1" s="1"/>
  <c r="L337" i="1"/>
  <c r="M337" i="1"/>
  <c r="O337" i="1"/>
  <c r="P337" i="1"/>
  <c r="Q337" i="1"/>
  <c r="S337" i="1"/>
  <c r="U337" i="1" s="1"/>
  <c r="W337" i="1"/>
  <c r="G338" i="1"/>
  <c r="L338" i="1"/>
  <c r="M338" i="1"/>
  <c r="N338" i="1"/>
  <c r="O338" i="1"/>
  <c r="P338" i="1"/>
  <c r="Q338" i="1"/>
  <c r="S338" i="1"/>
  <c r="U338" i="1" s="1"/>
  <c r="T338" i="1"/>
  <c r="V338" i="1"/>
  <c r="W338" i="1"/>
  <c r="G339" i="1"/>
  <c r="N339" i="1" s="1"/>
  <c r="L339" i="1"/>
  <c r="M339" i="1"/>
  <c r="O339" i="1"/>
  <c r="P339" i="1"/>
  <c r="Q339" i="1"/>
  <c r="R339" i="1"/>
  <c r="S339" i="1"/>
  <c r="G340" i="1"/>
  <c r="L340" i="1"/>
  <c r="M340" i="1"/>
  <c r="N340" i="1"/>
  <c r="O340" i="1"/>
  <c r="P340" i="1"/>
  <c r="Q340" i="1"/>
  <c r="S340" i="1"/>
  <c r="T340" i="1" s="1"/>
  <c r="G341" i="1"/>
  <c r="N341" i="1" s="1"/>
  <c r="L341" i="1"/>
  <c r="M341" i="1"/>
  <c r="O341" i="1"/>
  <c r="P341" i="1"/>
  <c r="Q341" i="1"/>
  <c r="R341" i="1"/>
  <c r="S341" i="1"/>
  <c r="U341" i="1"/>
  <c r="W341" i="1"/>
  <c r="G342" i="1"/>
  <c r="N342" i="1" s="1"/>
  <c r="L342" i="1"/>
  <c r="M342" i="1"/>
  <c r="O342" i="1"/>
  <c r="P342" i="1"/>
  <c r="Q342" i="1"/>
  <c r="S342" i="1"/>
  <c r="W342" i="1" s="1"/>
  <c r="T342" i="1"/>
  <c r="U342" i="1"/>
  <c r="V342" i="1"/>
  <c r="G343" i="1"/>
  <c r="L343" i="1"/>
  <c r="M343" i="1"/>
  <c r="N343" i="1"/>
  <c r="O343" i="1"/>
  <c r="P343" i="1"/>
  <c r="Q343" i="1"/>
  <c r="S343" i="1"/>
  <c r="G344" i="1"/>
  <c r="L344" i="1"/>
  <c r="M344" i="1"/>
  <c r="N344" i="1"/>
  <c r="O344" i="1"/>
  <c r="P344" i="1"/>
  <c r="Q344" i="1"/>
  <c r="S344" i="1"/>
  <c r="T344" i="1"/>
  <c r="G345" i="1"/>
  <c r="N345" i="1" s="1"/>
  <c r="R345" i="1" s="1"/>
  <c r="L345" i="1"/>
  <c r="M345" i="1"/>
  <c r="O345" i="1"/>
  <c r="P345" i="1"/>
  <c r="Q345" i="1"/>
  <c r="S345" i="1"/>
  <c r="V345" i="1" s="1"/>
  <c r="T345" i="1"/>
  <c r="W345" i="1"/>
  <c r="G346" i="1"/>
  <c r="L346" i="1"/>
  <c r="M346" i="1"/>
  <c r="N346" i="1"/>
  <c r="O346" i="1"/>
  <c r="P346" i="1"/>
  <c r="Q346" i="1"/>
  <c r="S346" i="1"/>
  <c r="T346" i="1"/>
  <c r="U346" i="1"/>
  <c r="V346" i="1"/>
  <c r="W346" i="1"/>
  <c r="G347" i="1"/>
  <c r="L347" i="1"/>
  <c r="M347" i="1"/>
  <c r="N347" i="1"/>
  <c r="O347" i="1"/>
  <c r="P347" i="1"/>
  <c r="Q347" i="1"/>
  <c r="S347" i="1"/>
  <c r="G348" i="1"/>
  <c r="L348" i="1"/>
  <c r="M348" i="1"/>
  <c r="R348" i="1" s="1"/>
  <c r="N348" i="1"/>
  <c r="O348" i="1"/>
  <c r="P348" i="1"/>
  <c r="Q348" i="1"/>
  <c r="S348" i="1"/>
  <c r="T348" i="1"/>
  <c r="U348" i="1"/>
  <c r="V348" i="1"/>
  <c r="W348" i="1"/>
  <c r="G349" i="1"/>
  <c r="N349" i="1" s="1"/>
  <c r="L349" i="1"/>
  <c r="M349" i="1"/>
  <c r="O349" i="1"/>
  <c r="P349" i="1"/>
  <c r="Q349" i="1"/>
  <c r="R349" i="1"/>
  <c r="S349" i="1"/>
  <c r="U349" i="1"/>
  <c r="W349" i="1"/>
  <c r="G350" i="1"/>
  <c r="L350" i="1"/>
  <c r="R350" i="1" s="1"/>
  <c r="M350" i="1"/>
  <c r="N350" i="1"/>
  <c r="O350" i="1"/>
  <c r="P350" i="1"/>
  <c r="Q350" i="1"/>
  <c r="S350" i="1"/>
  <c r="T350" i="1"/>
  <c r="U350" i="1"/>
  <c r="V350" i="1"/>
  <c r="W350" i="1"/>
  <c r="G351" i="1"/>
  <c r="L351" i="1"/>
  <c r="M351" i="1"/>
  <c r="N351" i="1"/>
  <c r="O351" i="1"/>
  <c r="P351" i="1"/>
  <c r="Q351" i="1"/>
  <c r="S351" i="1"/>
  <c r="U351" i="1" s="1"/>
  <c r="T351" i="1"/>
  <c r="W351" i="1"/>
  <c r="G352" i="1"/>
  <c r="N352" i="1" s="1"/>
  <c r="L352" i="1"/>
  <c r="M352" i="1"/>
  <c r="O352" i="1"/>
  <c r="P352" i="1"/>
  <c r="Q352" i="1"/>
  <c r="S352" i="1"/>
  <c r="V352" i="1"/>
  <c r="W352" i="1"/>
  <c r="G353" i="1"/>
  <c r="N353" i="1" s="1"/>
  <c r="L353" i="1"/>
  <c r="M353" i="1"/>
  <c r="O353" i="1"/>
  <c r="P353" i="1"/>
  <c r="Q353" i="1"/>
  <c r="S353" i="1"/>
  <c r="T353" i="1"/>
  <c r="V353" i="1"/>
  <c r="G354" i="1"/>
  <c r="L354" i="1"/>
  <c r="M354" i="1"/>
  <c r="R354" i="1" s="1"/>
  <c r="N354" i="1"/>
  <c r="O354" i="1"/>
  <c r="P354" i="1"/>
  <c r="Q354" i="1"/>
  <c r="S354" i="1"/>
  <c r="U354" i="1" s="1"/>
  <c r="T354" i="1"/>
  <c r="V354" i="1"/>
  <c r="W354" i="1"/>
  <c r="G355" i="1"/>
  <c r="N355" i="1" s="1"/>
  <c r="L355" i="1"/>
  <c r="M355" i="1"/>
  <c r="O355" i="1"/>
  <c r="P355" i="1"/>
  <c r="Q355" i="1"/>
  <c r="R355" i="1"/>
  <c r="S355" i="1"/>
  <c r="G356" i="1"/>
  <c r="L356" i="1"/>
  <c r="M356" i="1"/>
  <c r="N356" i="1"/>
  <c r="O356" i="1"/>
  <c r="P356" i="1"/>
  <c r="Q356" i="1"/>
  <c r="R356" i="1"/>
  <c r="S356" i="1"/>
  <c r="T356" i="1" s="1"/>
  <c r="U356" i="1"/>
  <c r="V356" i="1"/>
  <c r="W356" i="1"/>
  <c r="G357" i="1"/>
  <c r="N357" i="1" s="1"/>
  <c r="L357" i="1"/>
  <c r="M357" i="1"/>
  <c r="O357" i="1"/>
  <c r="P357" i="1"/>
  <c r="Q357" i="1"/>
  <c r="R357" i="1" s="1"/>
  <c r="S357" i="1"/>
  <c r="U357" i="1" s="1"/>
  <c r="W357" i="1"/>
  <c r="G358" i="1"/>
  <c r="L358" i="1"/>
  <c r="M358" i="1"/>
  <c r="N358" i="1"/>
  <c r="O358" i="1"/>
  <c r="P358" i="1"/>
  <c r="Q358" i="1"/>
  <c r="S358" i="1"/>
  <c r="W358" i="1" s="1"/>
  <c r="T358" i="1"/>
  <c r="U358" i="1"/>
  <c r="V358" i="1"/>
  <c r="G359" i="1"/>
  <c r="N359" i="1" s="1"/>
  <c r="L359" i="1"/>
  <c r="M359" i="1"/>
  <c r="O359" i="1"/>
  <c r="P359" i="1"/>
  <c r="Q359" i="1"/>
  <c r="R359" i="1"/>
  <c r="S359" i="1"/>
  <c r="G360" i="1"/>
  <c r="L360" i="1"/>
  <c r="M360" i="1"/>
  <c r="N360" i="1"/>
  <c r="O360" i="1"/>
  <c r="P360" i="1"/>
  <c r="Q360" i="1"/>
  <c r="S360" i="1"/>
  <c r="V360" i="1" s="1"/>
  <c r="G361" i="1"/>
  <c r="N361" i="1" s="1"/>
  <c r="L361" i="1"/>
  <c r="M361" i="1"/>
  <c r="O361" i="1"/>
  <c r="P361" i="1"/>
  <c r="Q361" i="1"/>
  <c r="R361" i="1"/>
  <c r="S361" i="1"/>
  <c r="U361" i="1"/>
  <c r="W361" i="1"/>
  <c r="G362" i="1"/>
  <c r="L362" i="1"/>
  <c r="M362" i="1"/>
  <c r="N362" i="1"/>
  <c r="O362" i="1"/>
  <c r="P362" i="1"/>
  <c r="Q362" i="1"/>
  <c r="S362" i="1"/>
  <c r="T362" i="1"/>
  <c r="U362" i="1"/>
  <c r="V362" i="1"/>
  <c r="W362" i="1"/>
  <c r="G363" i="1"/>
  <c r="N363" i="1" s="1"/>
  <c r="L363" i="1"/>
  <c r="M363" i="1"/>
  <c r="O363" i="1"/>
  <c r="P363" i="1"/>
  <c r="Q363" i="1"/>
  <c r="S363" i="1"/>
  <c r="G364" i="1"/>
  <c r="L364" i="1"/>
  <c r="M364" i="1"/>
  <c r="N364" i="1"/>
  <c r="O364" i="1"/>
  <c r="P364" i="1"/>
  <c r="Q364" i="1"/>
  <c r="S364" i="1"/>
  <c r="T364" i="1"/>
  <c r="U364" i="1"/>
  <c r="V364" i="1"/>
  <c r="W364" i="1"/>
  <c r="G365" i="1"/>
  <c r="N365" i="1" s="1"/>
  <c r="R365" i="1" s="1"/>
  <c r="L365" i="1"/>
  <c r="M365" i="1"/>
  <c r="O365" i="1"/>
  <c r="P365" i="1"/>
  <c r="Q365" i="1"/>
  <c r="S365" i="1"/>
  <c r="T365" i="1"/>
  <c r="G366" i="1"/>
  <c r="L366" i="1"/>
  <c r="M366" i="1"/>
  <c r="N366" i="1"/>
  <c r="O366" i="1"/>
  <c r="P366" i="1"/>
  <c r="Q366" i="1"/>
  <c r="S366" i="1"/>
  <c r="T366" i="1" s="1"/>
  <c r="U366" i="1"/>
  <c r="V366" i="1"/>
  <c r="W366" i="1"/>
  <c r="G367" i="1"/>
  <c r="N367" i="1" s="1"/>
  <c r="L367" i="1"/>
  <c r="M367" i="1"/>
  <c r="O367" i="1"/>
  <c r="P367" i="1"/>
  <c r="Q367" i="1"/>
  <c r="S367" i="1"/>
  <c r="T367" i="1" s="1"/>
  <c r="G368" i="1"/>
  <c r="L368" i="1"/>
  <c r="M368" i="1"/>
  <c r="R368" i="1" s="1"/>
  <c r="N368" i="1"/>
  <c r="O368" i="1"/>
  <c r="P368" i="1"/>
  <c r="Q368" i="1"/>
  <c r="S368" i="1"/>
  <c r="W368" i="1" s="1"/>
  <c r="V368" i="1"/>
  <c r="G369" i="1"/>
  <c r="N369" i="1" s="1"/>
  <c r="L369" i="1"/>
  <c r="M369" i="1"/>
  <c r="O369" i="1"/>
  <c r="P369" i="1"/>
  <c r="Q369" i="1"/>
  <c r="S369" i="1"/>
  <c r="T369" i="1"/>
  <c r="V369" i="1"/>
  <c r="G370" i="1"/>
  <c r="L370" i="1"/>
  <c r="M370" i="1"/>
  <c r="N370" i="1"/>
  <c r="O370" i="1"/>
  <c r="P370" i="1"/>
  <c r="Q370" i="1"/>
  <c r="S370" i="1"/>
  <c r="U370" i="1" s="1"/>
  <c r="V370" i="1"/>
  <c r="W370" i="1"/>
  <c r="G371" i="1"/>
  <c r="N371" i="1" s="1"/>
  <c r="L371" i="1"/>
  <c r="M371" i="1"/>
  <c r="O371" i="1"/>
  <c r="P371" i="1"/>
  <c r="Q371" i="1"/>
  <c r="S371" i="1"/>
  <c r="T371" i="1"/>
  <c r="U371" i="1"/>
  <c r="G372" i="1"/>
  <c r="L372" i="1"/>
  <c r="M372" i="1"/>
  <c r="N372" i="1"/>
  <c r="O372" i="1"/>
  <c r="P372" i="1"/>
  <c r="Q372" i="1"/>
  <c r="S372" i="1"/>
  <c r="T372" i="1"/>
  <c r="W372" i="1"/>
  <c r="G373" i="1"/>
  <c r="N373" i="1" s="1"/>
  <c r="R373" i="1" s="1"/>
  <c r="L373" i="1"/>
  <c r="M373" i="1"/>
  <c r="O373" i="1"/>
  <c r="P373" i="1"/>
  <c r="Q373" i="1"/>
  <c r="S373" i="1"/>
  <c r="V373" i="1" s="1"/>
  <c r="W373" i="1"/>
  <c r="G374" i="1"/>
  <c r="L374" i="1"/>
  <c r="M374" i="1"/>
  <c r="N374" i="1"/>
  <c r="O374" i="1"/>
  <c r="P374" i="1"/>
  <c r="Q374" i="1"/>
  <c r="S374" i="1"/>
  <c r="W374" i="1" s="1"/>
  <c r="V374" i="1"/>
  <c r="G375" i="1"/>
  <c r="N375" i="1" s="1"/>
  <c r="L375" i="1"/>
  <c r="M375" i="1"/>
  <c r="O375" i="1"/>
  <c r="P375" i="1"/>
  <c r="Q375" i="1"/>
  <c r="S375" i="1"/>
  <c r="U375" i="1"/>
  <c r="V375" i="1"/>
  <c r="G376" i="1"/>
  <c r="L376" i="1"/>
  <c r="M376" i="1"/>
  <c r="N376" i="1"/>
  <c r="O376" i="1"/>
  <c r="R376" i="1" s="1"/>
  <c r="P376" i="1"/>
  <c r="Q376" i="1"/>
  <c r="S376" i="1"/>
  <c r="W376" i="1" s="1"/>
  <c r="T376" i="1"/>
  <c r="U376" i="1"/>
  <c r="V376" i="1"/>
  <c r="G377" i="1"/>
  <c r="N377" i="1" s="1"/>
  <c r="L377" i="1"/>
  <c r="M377" i="1"/>
  <c r="O377" i="1"/>
  <c r="P377" i="1"/>
  <c r="Q377" i="1"/>
  <c r="S377" i="1"/>
  <c r="V377" i="1" s="1"/>
  <c r="U377" i="1"/>
  <c r="G378" i="1"/>
  <c r="L378" i="1"/>
  <c r="M378" i="1"/>
  <c r="N378" i="1"/>
  <c r="O378" i="1"/>
  <c r="P378" i="1"/>
  <c r="Q378" i="1"/>
  <c r="S378" i="1"/>
  <c r="T378" i="1"/>
  <c r="U378" i="1"/>
  <c r="V378" i="1"/>
  <c r="W378" i="1"/>
  <c r="G379" i="1"/>
  <c r="N379" i="1" s="1"/>
  <c r="L379" i="1"/>
  <c r="M379" i="1"/>
  <c r="O379" i="1"/>
  <c r="P379" i="1"/>
  <c r="Q379" i="1"/>
  <c r="S379" i="1"/>
  <c r="T379" i="1"/>
  <c r="G380" i="1"/>
  <c r="N380" i="1" s="1"/>
  <c r="L380" i="1"/>
  <c r="M380" i="1"/>
  <c r="O380" i="1"/>
  <c r="R380" i="1" s="1"/>
  <c r="P380" i="1"/>
  <c r="Q380" i="1"/>
  <c r="S380" i="1"/>
  <c r="T380" i="1"/>
  <c r="U380" i="1"/>
  <c r="V380" i="1"/>
  <c r="W380" i="1"/>
  <c r="G381" i="1"/>
  <c r="N381" i="1" s="1"/>
  <c r="L381" i="1"/>
  <c r="M381" i="1"/>
  <c r="O381" i="1"/>
  <c r="P381" i="1"/>
  <c r="Q381" i="1"/>
  <c r="R381" i="1"/>
  <c r="S381" i="1"/>
  <c r="T381" i="1"/>
  <c r="U381" i="1"/>
  <c r="G382" i="1"/>
  <c r="L382" i="1"/>
  <c r="M382" i="1"/>
  <c r="N382" i="1"/>
  <c r="O382" i="1"/>
  <c r="P382" i="1"/>
  <c r="Q382" i="1"/>
  <c r="S382" i="1"/>
  <c r="U382" i="1" s="1"/>
  <c r="V382" i="1"/>
  <c r="W382" i="1"/>
  <c r="G383" i="1"/>
  <c r="N383" i="1" s="1"/>
  <c r="L383" i="1"/>
  <c r="M383" i="1"/>
  <c r="R383" i="1" s="1"/>
  <c r="O383" i="1"/>
  <c r="P383" i="1"/>
  <c r="Q383" i="1"/>
  <c r="S383" i="1"/>
  <c r="T383" i="1"/>
  <c r="U383" i="1"/>
  <c r="G384" i="1"/>
  <c r="L384" i="1"/>
  <c r="M384" i="1"/>
  <c r="N384" i="1"/>
  <c r="O384" i="1"/>
  <c r="P384" i="1"/>
  <c r="Q384" i="1"/>
  <c r="S384" i="1"/>
  <c r="T384" i="1"/>
  <c r="W384" i="1"/>
  <c r="G385" i="1"/>
  <c r="N385" i="1" s="1"/>
  <c r="L385" i="1"/>
  <c r="R385" i="1" s="1"/>
  <c r="M385" i="1"/>
  <c r="O385" i="1"/>
  <c r="P385" i="1"/>
  <c r="Q385" i="1"/>
  <c r="S385" i="1"/>
  <c r="G386" i="1"/>
  <c r="L386" i="1"/>
  <c r="M386" i="1"/>
  <c r="N386" i="1"/>
  <c r="O386" i="1"/>
  <c r="P386" i="1"/>
  <c r="Q386" i="1"/>
  <c r="S386" i="1"/>
  <c r="V386" i="1" s="1"/>
  <c r="W386" i="1"/>
  <c r="G387" i="1"/>
  <c r="N387" i="1" s="1"/>
  <c r="L387" i="1"/>
  <c r="R387" i="1" s="1"/>
  <c r="M387" i="1"/>
  <c r="O387" i="1"/>
  <c r="P387" i="1"/>
  <c r="Q387" i="1"/>
  <c r="S387" i="1"/>
  <c r="W387" i="1" s="1"/>
  <c r="T387" i="1"/>
  <c r="U387" i="1"/>
  <c r="V387" i="1"/>
  <c r="G388" i="1"/>
  <c r="L388" i="1"/>
  <c r="M388" i="1"/>
  <c r="N388" i="1"/>
  <c r="O388" i="1"/>
  <c r="R388" i="1" s="1"/>
  <c r="P388" i="1"/>
  <c r="Q388" i="1"/>
  <c r="S388" i="1"/>
  <c r="T388" i="1"/>
  <c r="U388" i="1"/>
  <c r="V388" i="1"/>
  <c r="W388" i="1"/>
  <c r="G389" i="1"/>
  <c r="N389" i="1" s="1"/>
  <c r="L389" i="1"/>
  <c r="R389" i="1" s="1"/>
  <c r="M389" i="1"/>
  <c r="O389" i="1"/>
  <c r="P389" i="1"/>
  <c r="Q389" i="1"/>
  <c r="S389" i="1"/>
  <c r="U389" i="1"/>
  <c r="W389" i="1"/>
  <c r="G390" i="1"/>
  <c r="L390" i="1"/>
  <c r="R390" i="1" s="1"/>
  <c r="M390" i="1"/>
  <c r="N390" i="1"/>
  <c r="O390" i="1"/>
  <c r="P390" i="1"/>
  <c r="Q390" i="1"/>
  <c r="S390" i="1"/>
  <c r="U390" i="1" s="1"/>
  <c r="G391" i="1"/>
  <c r="L391" i="1"/>
  <c r="M391" i="1"/>
  <c r="N391" i="1"/>
  <c r="O391" i="1"/>
  <c r="P391" i="1"/>
  <c r="Q391" i="1"/>
  <c r="R391" i="1"/>
  <c r="S391" i="1"/>
  <c r="T391" i="1" s="1"/>
  <c r="U391" i="1"/>
  <c r="V391" i="1"/>
  <c r="W391" i="1"/>
  <c r="G392" i="1"/>
  <c r="N392" i="1" s="1"/>
  <c r="L392" i="1"/>
  <c r="M392" i="1"/>
  <c r="O392" i="1"/>
  <c r="P392" i="1"/>
  <c r="Q392" i="1"/>
  <c r="R392" i="1"/>
  <c r="S392" i="1"/>
  <c r="U392" i="1" s="1"/>
  <c r="G393" i="1"/>
  <c r="L393" i="1"/>
  <c r="R393" i="1" s="1"/>
  <c r="M393" i="1"/>
  <c r="N393" i="1"/>
  <c r="O393" i="1"/>
  <c r="P393" i="1"/>
  <c r="Q393" i="1"/>
  <c r="S393" i="1"/>
  <c r="T393" i="1"/>
  <c r="U393" i="1"/>
  <c r="V393" i="1"/>
  <c r="W393" i="1"/>
  <c r="G394" i="1"/>
  <c r="L394" i="1"/>
  <c r="M394" i="1"/>
  <c r="N394" i="1"/>
  <c r="O394" i="1"/>
  <c r="P394" i="1"/>
  <c r="Q394" i="1"/>
  <c r="S394" i="1"/>
  <c r="T394" i="1"/>
  <c r="U394" i="1"/>
  <c r="V394" i="1"/>
  <c r="W394" i="1"/>
  <c r="G395" i="1"/>
  <c r="N395" i="1" s="1"/>
  <c r="L395" i="1"/>
  <c r="M395" i="1"/>
  <c r="O395" i="1"/>
  <c r="P395" i="1"/>
  <c r="Q395" i="1"/>
  <c r="R395" i="1"/>
  <c r="S395" i="1"/>
  <c r="G396" i="1"/>
  <c r="L396" i="1"/>
  <c r="M396" i="1"/>
  <c r="N396" i="1"/>
  <c r="O396" i="1"/>
  <c r="R396" i="1" s="1"/>
  <c r="P396" i="1"/>
  <c r="Q396" i="1"/>
  <c r="S396" i="1"/>
  <c r="T396" i="1"/>
  <c r="U396" i="1"/>
  <c r="V396" i="1"/>
  <c r="W396" i="1"/>
  <c r="G397" i="1"/>
  <c r="N397" i="1" s="1"/>
  <c r="R397" i="1" s="1"/>
  <c r="L397" i="1"/>
  <c r="M397" i="1"/>
  <c r="O397" i="1"/>
  <c r="P397" i="1"/>
  <c r="Q397" i="1"/>
  <c r="S397" i="1"/>
  <c r="T397" i="1" s="1"/>
  <c r="G398" i="1"/>
  <c r="L398" i="1"/>
  <c r="M398" i="1"/>
  <c r="N398" i="1"/>
  <c r="O398" i="1"/>
  <c r="P398" i="1"/>
  <c r="Q398" i="1"/>
  <c r="S398" i="1"/>
  <c r="T398" i="1" s="1"/>
  <c r="U398" i="1"/>
  <c r="V398" i="1"/>
  <c r="W398" i="1"/>
  <c r="G399" i="1"/>
  <c r="N399" i="1" s="1"/>
  <c r="L399" i="1"/>
  <c r="M399" i="1"/>
  <c r="O399" i="1"/>
  <c r="P399" i="1"/>
  <c r="Q399" i="1"/>
  <c r="S399" i="1"/>
  <c r="T399" i="1"/>
  <c r="G400" i="1"/>
  <c r="L400" i="1"/>
  <c r="M400" i="1"/>
  <c r="N400" i="1"/>
  <c r="O400" i="1"/>
  <c r="P400" i="1"/>
  <c r="Q400" i="1"/>
  <c r="S400" i="1"/>
  <c r="G401" i="1"/>
  <c r="N401" i="1" s="1"/>
  <c r="L401" i="1"/>
  <c r="M401" i="1"/>
  <c r="O401" i="1"/>
  <c r="P401" i="1"/>
  <c r="Q401" i="1"/>
  <c r="S401" i="1"/>
  <c r="W401" i="1" s="1"/>
  <c r="U401" i="1"/>
  <c r="V401" i="1"/>
  <c r="G402" i="1"/>
  <c r="L402" i="1"/>
  <c r="R402" i="1" s="1"/>
  <c r="M402" i="1"/>
  <c r="N402" i="1"/>
  <c r="O402" i="1"/>
  <c r="P402" i="1"/>
  <c r="Q402" i="1"/>
  <c r="S402" i="1"/>
  <c r="U402" i="1" s="1"/>
  <c r="V402" i="1"/>
  <c r="W402" i="1"/>
  <c r="G403" i="1"/>
  <c r="N403" i="1" s="1"/>
  <c r="L403" i="1"/>
  <c r="M403" i="1"/>
  <c r="O403" i="1"/>
  <c r="P403" i="1"/>
  <c r="Q403" i="1"/>
  <c r="S403" i="1"/>
  <c r="T403" i="1"/>
  <c r="V403" i="1"/>
  <c r="G404" i="1"/>
  <c r="L404" i="1"/>
  <c r="M404" i="1"/>
  <c r="N404" i="1"/>
  <c r="O404" i="1"/>
  <c r="R404" i="1" s="1"/>
  <c r="P404" i="1"/>
  <c r="Q404" i="1"/>
  <c r="S404" i="1"/>
  <c r="T404" i="1"/>
  <c r="U404" i="1"/>
  <c r="V404" i="1"/>
  <c r="W404" i="1"/>
  <c r="G405" i="1"/>
  <c r="N405" i="1" s="1"/>
  <c r="L405" i="1"/>
  <c r="R405" i="1" s="1"/>
  <c r="M405" i="1"/>
  <c r="O405" i="1"/>
  <c r="P405" i="1"/>
  <c r="Q405" i="1"/>
  <c r="S405" i="1"/>
  <c r="T405" i="1" s="1"/>
  <c r="W405" i="1"/>
  <c r="G406" i="1"/>
  <c r="L406" i="1"/>
  <c r="M406" i="1"/>
  <c r="N406" i="1"/>
  <c r="O406" i="1"/>
  <c r="P406" i="1"/>
  <c r="Q406" i="1"/>
  <c r="S406" i="1"/>
  <c r="W406" i="1" s="1"/>
  <c r="V406" i="1"/>
  <c r="G407" i="1"/>
  <c r="N407" i="1" s="1"/>
  <c r="L407" i="1"/>
  <c r="M407" i="1"/>
  <c r="O407" i="1"/>
  <c r="P407" i="1"/>
  <c r="Q407" i="1"/>
  <c r="S407" i="1"/>
  <c r="U407" i="1"/>
  <c r="V407" i="1"/>
  <c r="G408" i="1"/>
  <c r="L408" i="1"/>
  <c r="M408" i="1"/>
  <c r="N408" i="1"/>
  <c r="O408" i="1"/>
  <c r="P408" i="1"/>
  <c r="Q408" i="1"/>
  <c r="S408" i="1"/>
  <c r="W408" i="1" s="1"/>
  <c r="T408" i="1"/>
  <c r="U408" i="1"/>
  <c r="V408" i="1"/>
  <c r="G409" i="1"/>
  <c r="N409" i="1" s="1"/>
  <c r="L409" i="1"/>
  <c r="M409" i="1"/>
  <c r="O409" i="1"/>
  <c r="P409" i="1"/>
  <c r="Q409" i="1"/>
  <c r="S409" i="1"/>
  <c r="U409" i="1"/>
  <c r="V409" i="1"/>
  <c r="G410" i="1"/>
  <c r="N410" i="1" s="1"/>
  <c r="L410" i="1"/>
  <c r="M410" i="1"/>
  <c r="O410" i="1"/>
  <c r="P410" i="1"/>
  <c r="Q410" i="1"/>
  <c r="S410" i="1"/>
  <c r="T410" i="1" s="1"/>
  <c r="U410" i="1"/>
  <c r="V410" i="1"/>
  <c r="W410" i="1"/>
  <c r="G411" i="1"/>
  <c r="N411" i="1" s="1"/>
  <c r="L411" i="1"/>
  <c r="M411" i="1"/>
  <c r="O411" i="1"/>
  <c r="P411" i="1"/>
  <c r="Q411" i="1"/>
  <c r="S411" i="1"/>
  <c r="G412" i="1"/>
  <c r="L412" i="1"/>
  <c r="M412" i="1"/>
  <c r="N412" i="1"/>
  <c r="O412" i="1"/>
  <c r="P412" i="1"/>
  <c r="Q412" i="1"/>
  <c r="R412" i="1" s="1"/>
  <c r="S412" i="1"/>
  <c r="T412" i="1"/>
  <c r="U412" i="1"/>
  <c r="V412" i="1"/>
  <c r="W412" i="1"/>
  <c r="G413" i="1"/>
  <c r="L413" i="1"/>
  <c r="M413" i="1"/>
  <c r="N413" i="1"/>
  <c r="O413" i="1"/>
  <c r="P413" i="1"/>
  <c r="Q413" i="1"/>
  <c r="R413" i="1"/>
  <c r="S413" i="1"/>
  <c r="V413" i="1" s="1"/>
  <c r="T413" i="1"/>
  <c r="U413" i="1"/>
  <c r="W413" i="1"/>
  <c r="G414" i="1"/>
  <c r="N414" i="1" s="1"/>
  <c r="L414" i="1"/>
  <c r="R414" i="1" s="1"/>
  <c r="M414" i="1"/>
  <c r="O414" i="1"/>
  <c r="P414" i="1"/>
  <c r="Q414" i="1"/>
  <c r="S414" i="1"/>
  <c r="W414" i="1" s="1"/>
  <c r="V414" i="1"/>
  <c r="G415" i="1"/>
  <c r="L415" i="1"/>
  <c r="M415" i="1"/>
  <c r="R415" i="1" s="1"/>
  <c r="N415" i="1"/>
  <c r="O415" i="1"/>
  <c r="P415" i="1"/>
  <c r="Q415" i="1"/>
  <c r="S415" i="1"/>
  <c r="T415" i="1" s="1"/>
  <c r="U415" i="1"/>
  <c r="V415" i="1"/>
  <c r="W415" i="1"/>
  <c r="G416" i="1"/>
  <c r="N416" i="1" s="1"/>
  <c r="L416" i="1"/>
  <c r="M416" i="1"/>
  <c r="O416" i="1"/>
  <c r="P416" i="1"/>
  <c r="Q416" i="1"/>
  <c r="R416" i="1"/>
  <c r="S416" i="1"/>
  <c r="G417" i="1"/>
  <c r="L417" i="1"/>
  <c r="M417" i="1"/>
  <c r="N417" i="1"/>
  <c r="O417" i="1"/>
  <c r="P417" i="1"/>
  <c r="Q417" i="1"/>
  <c r="S417" i="1"/>
  <c r="T417" i="1" s="1"/>
  <c r="U417" i="1"/>
  <c r="G418" i="1"/>
  <c r="N418" i="1" s="1"/>
  <c r="L418" i="1"/>
  <c r="M418" i="1"/>
  <c r="O418" i="1"/>
  <c r="P418" i="1"/>
  <c r="Q418" i="1"/>
  <c r="R418" i="1"/>
  <c r="S418" i="1"/>
  <c r="V418" i="1"/>
  <c r="W418" i="1"/>
  <c r="G419" i="1"/>
  <c r="L419" i="1"/>
  <c r="M419" i="1"/>
  <c r="N419" i="1"/>
  <c r="O419" i="1"/>
  <c r="P419" i="1"/>
  <c r="Q419" i="1"/>
  <c r="S419" i="1"/>
  <c r="T419" i="1"/>
  <c r="U419" i="1"/>
  <c r="V419" i="1"/>
  <c r="W419" i="1"/>
  <c r="G420" i="1"/>
  <c r="L420" i="1"/>
  <c r="M420" i="1"/>
  <c r="N420" i="1"/>
  <c r="O420" i="1"/>
  <c r="P420" i="1"/>
  <c r="Q420" i="1"/>
  <c r="S420" i="1"/>
  <c r="T420" i="1" s="1"/>
  <c r="V420" i="1"/>
  <c r="W420" i="1"/>
  <c r="G421" i="1"/>
  <c r="N421" i="1" s="1"/>
  <c r="L421" i="1"/>
  <c r="M421" i="1"/>
  <c r="O421" i="1"/>
  <c r="P421" i="1"/>
  <c r="Q421" i="1"/>
  <c r="S421" i="1"/>
  <c r="U421" i="1" s="1"/>
  <c r="G422" i="1"/>
  <c r="L422" i="1"/>
  <c r="M422" i="1"/>
  <c r="N422" i="1"/>
  <c r="O422" i="1"/>
  <c r="P422" i="1"/>
  <c r="Q422" i="1"/>
  <c r="S422" i="1"/>
  <c r="U422" i="1" s="1"/>
  <c r="V422" i="1"/>
  <c r="W422" i="1"/>
  <c r="G423" i="1"/>
  <c r="N423" i="1" s="1"/>
  <c r="L423" i="1"/>
  <c r="M423" i="1"/>
  <c r="O423" i="1"/>
  <c r="P423" i="1"/>
  <c r="Q423" i="1"/>
  <c r="R423" i="1"/>
  <c r="S423" i="1"/>
  <c r="U423" i="1"/>
  <c r="W423" i="1"/>
  <c r="G424" i="1"/>
  <c r="N424" i="1" s="1"/>
  <c r="L424" i="1"/>
  <c r="M424" i="1"/>
  <c r="O424" i="1"/>
  <c r="P424" i="1"/>
  <c r="Q424" i="1"/>
  <c r="S424" i="1"/>
  <c r="W424" i="1" s="1"/>
  <c r="T424" i="1"/>
  <c r="U424" i="1"/>
  <c r="V424" i="1"/>
  <c r="G425" i="1"/>
  <c r="N425" i="1" s="1"/>
  <c r="L425" i="1"/>
  <c r="M425" i="1"/>
  <c r="O425" i="1"/>
  <c r="P425" i="1"/>
  <c r="Q425" i="1"/>
  <c r="S425" i="1"/>
  <c r="G426" i="1"/>
  <c r="L426" i="1"/>
  <c r="M426" i="1"/>
  <c r="N426" i="1"/>
  <c r="O426" i="1"/>
  <c r="P426" i="1"/>
  <c r="Q426" i="1"/>
  <c r="R426" i="1"/>
  <c r="S426" i="1"/>
  <c r="W426" i="1" s="1"/>
  <c r="T426" i="1"/>
  <c r="U426" i="1"/>
  <c r="V426" i="1"/>
  <c r="G427" i="1"/>
  <c r="L427" i="1"/>
  <c r="M427" i="1"/>
  <c r="N427" i="1"/>
  <c r="O427" i="1"/>
  <c r="R427" i="1" s="1"/>
  <c r="P427" i="1"/>
  <c r="Q427" i="1"/>
  <c r="S427" i="1"/>
  <c r="T427" i="1"/>
  <c r="U427" i="1"/>
  <c r="V427" i="1"/>
  <c r="W427" i="1"/>
  <c r="G428" i="1"/>
  <c r="N428" i="1" s="1"/>
  <c r="L428" i="1"/>
  <c r="R428" i="1" s="1"/>
  <c r="M428" i="1"/>
  <c r="O428" i="1"/>
  <c r="P428" i="1"/>
  <c r="Q428" i="1"/>
  <c r="S428" i="1"/>
  <c r="T428" i="1"/>
  <c r="U428" i="1"/>
  <c r="V428" i="1"/>
  <c r="W428" i="1"/>
  <c r="G429" i="1"/>
  <c r="L429" i="1"/>
  <c r="M429" i="1"/>
  <c r="N429" i="1"/>
  <c r="O429" i="1"/>
  <c r="P429" i="1"/>
  <c r="Q429" i="1"/>
  <c r="S429" i="1"/>
  <c r="V429" i="1" s="1"/>
  <c r="T429" i="1"/>
  <c r="U429" i="1"/>
  <c r="W429" i="1"/>
  <c r="G430" i="1"/>
  <c r="N430" i="1" s="1"/>
  <c r="L430" i="1"/>
  <c r="R430" i="1" s="1"/>
  <c r="M430" i="1"/>
  <c r="O430" i="1"/>
  <c r="P430" i="1"/>
  <c r="Q430" i="1"/>
  <c r="S430" i="1"/>
  <c r="G431" i="1"/>
  <c r="L431" i="1"/>
  <c r="M431" i="1"/>
  <c r="N431" i="1"/>
  <c r="O431" i="1"/>
  <c r="P431" i="1"/>
  <c r="Q431" i="1"/>
  <c r="R431" i="1"/>
  <c r="S431" i="1"/>
  <c r="W431" i="1" s="1"/>
  <c r="T431" i="1"/>
  <c r="U431" i="1"/>
  <c r="V431" i="1"/>
  <c r="G432" i="1"/>
  <c r="L432" i="1"/>
  <c r="M432" i="1"/>
  <c r="N432" i="1"/>
  <c r="R432" i="1" s="1"/>
  <c r="O432" i="1"/>
  <c r="P432" i="1"/>
  <c r="Q432" i="1"/>
  <c r="S432" i="1"/>
  <c r="T432" i="1"/>
  <c r="U432" i="1"/>
  <c r="V432" i="1"/>
  <c r="W432" i="1"/>
  <c r="G433" i="1"/>
  <c r="N433" i="1" s="1"/>
  <c r="L433" i="1"/>
  <c r="M433" i="1"/>
  <c r="O433" i="1"/>
  <c r="P433" i="1"/>
  <c r="Q433" i="1"/>
  <c r="S433" i="1"/>
  <c r="G434" i="1"/>
  <c r="N434" i="1" s="1"/>
  <c r="L434" i="1"/>
  <c r="M434" i="1"/>
  <c r="O434" i="1"/>
  <c r="P434" i="1"/>
  <c r="Q434" i="1"/>
  <c r="S434" i="1"/>
  <c r="U434" i="1" s="1"/>
  <c r="V434" i="1"/>
  <c r="W434" i="1"/>
  <c r="G435" i="1"/>
  <c r="N435" i="1" s="1"/>
  <c r="L435" i="1"/>
  <c r="M435" i="1"/>
  <c r="O435" i="1"/>
  <c r="P435" i="1"/>
  <c r="Q435" i="1"/>
  <c r="S435" i="1"/>
  <c r="T435" i="1"/>
  <c r="G436" i="1"/>
  <c r="L436" i="1"/>
  <c r="R436" i="1" s="1"/>
  <c r="M436" i="1"/>
  <c r="N436" i="1"/>
  <c r="O436" i="1"/>
  <c r="P436" i="1"/>
  <c r="Q436" i="1"/>
  <c r="S436" i="1"/>
  <c r="G437" i="1"/>
  <c r="N437" i="1" s="1"/>
  <c r="L437" i="1"/>
  <c r="M437" i="1"/>
  <c r="O437" i="1"/>
  <c r="P437" i="1"/>
  <c r="Q437" i="1"/>
  <c r="R437" i="1"/>
  <c r="S437" i="1"/>
  <c r="T437" i="1" s="1"/>
  <c r="G438" i="1"/>
  <c r="L438" i="1"/>
  <c r="M438" i="1"/>
  <c r="N438" i="1"/>
  <c r="O438" i="1"/>
  <c r="P438" i="1"/>
  <c r="Q438" i="1"/>
  <c r="S438" i="1"/>
  <c r="U438" i="1" s="1"/>
  <c r="T438" i="1"/>
  <c r="V438" i="1"/>
  <c r="W438" i="1"/>
  <c r="G439" i="1"/>
  <c r="L439" i="1"/>
  <c r="M439" i="1"/>
  <c r="N439" i="1"/>
  <c r="O439" i="1"/>
  <c r="P439" i="1"/>
  <c r="Q439" i="1"/>
  <c r="S439" i="1"/>
  <c r="T439" i="1" s="1"/>
  <c r="W439" i="1"/>
  <c r="G440" i="1"/>
  <c r="L440" i="1"/>
  <c r="M440" i="1"/>
  <c r="N440" i="1"/>
  <c r="O440" i="1"/>
  <c r="P440" i="1"/>
  <c r="Q440" i="1"/>
  <c r="S440" i="1"/>
  <c r="T440" i="1"/>
  <c r="U440" i="1"/>
  <c r="G441" i="1"/>
  <c r="L441" i="1"/>
  <c r="M441" i="1"/>
  <c r="N441" i="1"/>
  <c r="R441" i="1" s="1"/>
  <c r="O441" i="1"/>
  <c r="P441" i="1"/>
  <c r="Q441" i="1"/>
  <c r="S441" i="1"/>
  <c r="T441" i="1"/>
  <c r="U441" i="1"/>
  <c r="V441" i="1"/>
  <c r="W441" i="1"/>
  <c r="G442" i="1"/>
  <c r="N442" i="1" s="1"/>
  <c r="L442" i="1"/>
  <c r="M442" i="1"/>
  <c r="O442" i="1"/>
  <c r="P442" i="1"/>
  <c r="Q442" i="1"/>
  <c r="R442" i="1"/>
  <c r="S442" i="1"/>
  <c r="V442" i="1" s="1"/>
  <c r="T442" i="1"/>
  <c r="U442" i="1"/>
  <c r="W442" i="1"/>
  <c r="G443" i="1"/>
  <c r="L443" i="1"/>
  <c r="M443" i="1"/>
  <c r="N443" i="1"/>
  <c r="O443" i="1"/>
  <c r="P443" i="1"/>
  <c r="Q443" i="1"/>
  <c r="S443" i="1"/>
  <c r="T443" i="1"/>
  <c r="U443" i="1"/>
  <c r="V443" i="1"/>
  <c r="W443" i="1"/>
  <c r="G444" i="1"/>
  <c r="L444" i="1"/>
  <c r="M444" i="1"/>
  <c r="N444" i="1"/>
  <c r="O444" i="1"/>
  <c r="P444" i="1"/>
  <c r="R444" i="1" s="1"/>
  <c r="Q444" i="1"/>
  <c r="S444" i="1"/>
  <c r="T444" i="1"/>
  <c r="U444" i="1"/>
  <c r="V444" i="1"/>
  <c r="W444" i="1"/>
  <c r="G445" i="1"/>
  <c r="N445" i="1" s="1"/>
  <c r="L445" i="1"/>
  <c r="M445" i="1"/>
  <c r="O445" i="1"/>
  <c r="P445" i="1"/>
  <c r="Q445" i="1"/>
  <c r="S445" i="1"/>
  <c r="G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G447" i="1"/>
  <c r="N447" i="1" s="1"/>
  <c r="R447" i="1" s="1"/>
  <c r="L447" i="1"/>
  <c r="M447" i="1"/>
  <c r="O447" i="1"/>
  <c r="P447" i="1"/>
  <c r="Q447" i="1"/>
  <c r="S447" i="1"/>
  <c r="V447" i="1" s="1"/>
  <c r="T447" i="1"/>
  <c r="U447" i="1"/>
  <c r="W447" i="1"/>
  <c r="G448" i="1"/>
  <c r="L448" i="1"/>
  <c r="M448" i="1"/>
  <c r="N448" i="1"/>
  <c r="O448" i="1"/>
  <c r="P448" i="1"/>
  <c r="Q448" i="1"/>
  <c r="S448" i="1"/>
  <c r="T448" i="1"/>
  <c r="U448" i="1"/>
  <c r="V448" i="1"/>
  <c r="W448" i="1"/>
  <c r="G449" i="1"/>
  <c r="L449" i="1"/>
  <c r="M449" i="1"/>
  <c r="N449" i="1"/>
  <c r="O449" i="1"/>
  <c r="P449" i="1"/>
  <c r="Q449" i="1"/>
  <c r="S449" i="1"/>
  <c r="G450" i="1"/>
  <c r="L450" i="1"/>
  <c r="R450" i="1" s="1"/>
  <c r="M450" i="1"/>
  <c r="N450" i="1"/>
  <c r="O450" i="1"/>
  <c r="P450" i="1"/>
  <c r="Q450" i="1"/>
  <c r="S450" i="1"/>
  <c r="U450" i="1" s="1"/>
  <c r="T450" i="1"/>
  <c r="V450" i="1"/>
  <c r="W450" i="1"/>
  <c r="G451" i="1"/>
  <c r="N451" i="1" s="1"/>
  <c r="L451" i="1"/>
  <c r="M451" i="1"/>
  <c r="O451" i="1"/>
  <c r="P451" i="1"/>
  <c r="Q451" i="1"/>
  <c r="S451" i="1"/>
  <c r="T451" i="1" s="1"/>
  <c r="G452" i="1"/>
  <c r="L452" i="1"/>
  <c r="M452" i="1"/>
  <c r="R452" i="1" s="1"/>
  <c r="N452" i="1"/>
  <c r="O452" i="1"/>
  <c r="P452" i="1"/>
  <c r="Q452" i="1"/>
  <c r="S452" i="1"/>
  <c r="W452" i="1" s="1"/>
  <c r="U452" i="1"/>
  <c r="G453" i="1"/>
  <c r="N453" i="1" s="1"/>
  <c r="L453" i="1"/>
  <c r="M453" i="1"/>
  <c r="O453" i="1"/>
  <c r="P453" i="1"/>
  <c r="Q453" i="1"/>
  <c r="S453" i="1"/>
  <c r="V453" i="1" s="1"/>
  <c r="W453" i="1"/>
  <c r="G454" i="1"/>
  <c r="N454" i="1" s="1"/>
  <c r="L454" i="1"/>
  <c r="R454" i="1" s="1"/>
  <c r="M454" i="1"/>
  <c r="O454" i="1"/>
  <c r="P454" i="1"/>
  <c r="Q454" i="1"/>
  <c r="S454" i="1"/>
  <c r="T454" i="1" s="1"/>
  <c r="G455" i="1"/>
  <c r="L455" i="1"/>
  <c r="R455" i="1" s="1"/>
  <c r="M455" i="1"/>
  <c r="N455" i="1"/>
  <c r="O455" i="1"/>
  <c r="P455" i="1"/>
  <c r="Q455" i="1"/>
  <c r="S455" i="1"/>
  <c r="T455" i="1" s="1"/>
  <c r="W455" i="1"/>
  <c r="G456" i="1"/>
  <c r="N456" i="1" s="1"/>
  <c r="L456" i="1"/>
  <c r="M456" i="1"/>
  <c r="O456" i="1"/>
  <c r="P456" i="1"/>
  <c r="Q456" i="1"/>
  <c r="S456" i="1"/>
  <c r="T456" i="1"/>
  <c r="V456" i="1"/>
  <c r="G457" i="1"/>
  <c r="L457" i="1"/>
  <c r="M457" i="1"/>
  <c r="N457" i="1"/>
  <c r="O457" i="1"/>
  <c r="P457" i="1"/>
  <c r="Q457" i="1"/>
  <c r="S457" i="1"/>
  <c r="T457" i="1"/>
  <c r="U457" i="1"/>
  <c r="V457" i="1"/>
  <c r="W457" i="1"/>
  <c r="G458" i="1"/>
  <c r="L458" i="1"/>
  <c r="M458" i="1"/>
  <c r="N458" i="1"/>
  <c r="R458" i="1" s="1"/>
  <c r="O458" i="1"/>
  <c r="P458" i="1"/>
  <c r="Q458" i="1"/>
  <c r="S458" i="1"/>
  <c r="U458" i="1" s="1"/>
  <c r="T458" i="1"/>
  <c r="W458" i="1"/>
  <c r="G459" i="1"/>
  <c r="N459" i="1" s="1"/>
  <c r="L459" i="1"/>
  <c r="R459" i="1" s="1"/>
  <c r="M459" i="1"/>
  <c r="O459" i="1"/>
  <c r="P459" i="1"/>
  <c r="Q459" i="1"/>
  <c r="S459" i="1"/>
  <c r="G460" i="1"/>
  <c r="L460" i="1"/>
  <c r="M460" i="1"/>
  <c r="N460" i="1"/>
  <c r="O460" i="1"/>
  <c r="P460" i="1"/>
  <c r="Q460" i="1"/>
  <c r="S460" i="1"/>
  <c r="T460" i="1"/>
  <c r="U460" i="1"/>
  <c r="V460" i="1"/>
  <c r="W460" i="1"/>
  <c r="G461" i="1"/>
  <c r="N461" i="1" s="1"/>
  <c r="R461" i="1" s="1"/>
  <c r="L461" i="1"/>
  <c r="M461" i="1"/>
  <c r="O461" i="1"/>
  <c r="P461" i="1"/>
  <c r="Q461" i="1"/>
  <c r="S461" i="1"/>
  <c r="T461" i="1"/>
  <c r="W461" i="1"/>
  <c r="G462" i="1"/>
  <c r="N462" i="1" s="1"/>
  <c r="L462" i="1"/>
  <c r="M462" i="1"/>
  <c r="O462" i="1"/>
  <c r="P462" i="1"/>
  <c r="Q462" i="1"/>
  <c r="S462" i="1"/>
  <c r="T462" i="1"/>
  <c r="U462" i="1"/>
  <c r="V462" i="1"/>
  <c r="W462" i="1"/>
  <c r="G463" i="1"/>
  <c r="N463" i="1" s="1"/>
  <c r="L463" i="1"/>
  <c r="M463" i="1"/>
  <c r="O463" i="1"/>
  <c r="P463" i="1"/>
  <c r="Q463" i="1"/>
  <c r="S463" i="1"/>
  <c r="U463" i="1" s="1"/>
  <c r="T463" i="1"/>
  <c r="W463" i="1"/>
  <c r="G464" i="1"/>
  <c r="L464" i="1"/>
  <c r="M464" i="1"/>
  <c r="N464" i="1"/>
  <c r="O464" i="1"/>
  <c r="P464" i="1"/>
  <c r="R464" i="1" s="1"/>
  <c r="Q464" i="1"/>
  <c r="S464" i="1"/>
  <c r="V464" i="1" s="1"/>
  <c r="U464" i="1"/>
  <c r="W464" i="1"/>
  <c r="G465" i="1"/>
  <c r="L465" i="1"/>
  <c r="M465" i="1"/>
  <c r="R465" i="1" s="1"/>
  <c r="N465" i="1"/>
  <c r="O465" i="1"/>
  <c r="P465" i="1"/>
  <c r="Q465" i="1"/>
  <c r="S465" i="1"/>
  <c r="T465" i="1" s="1"/>
  <c r="U465" i="1"/>
  <c r="W465" i="1"/>
  <c r="G466" i="1"/>
  <c r="N466" i="1" s="1"/>
  <c r="L466" i="1"/>
  <c r="M466" i="1"/>
  <c r="O466" i="1"/>
  <c r="P466" i="1"/>
  <c r="Q466" i="1"/>
  <c r="R466" i="1"/>
  <c r="S466" i="1"/>
  <c r="G467" i="1"/>
  <c r="N467" i="1" s="1"/>
  <c r="L467" i="1"/>
  <c r="M467" i="1"/>
  <c r="O467" i="1"/>
  <c r="P467" i="1"/>
  <c r="Q467" i="1"/>
  <c r="S467" i="1"/>
  <c r="U467" i="1" s="1"/>
  <c r="T467" i="1"/>
  <c r="G468" i="1"/>
  <c r="L468" i="1"/>
  <c r="M468" i="1"/>
  <c r="N468" i="1"/>
  <c r="O468" i="1"/>
  <c r="P468" i="1"/>
  <c r="Q468" i="1"/>
  <c r="S468" i="1"/>
  <c r="V468" i="1"/>
  <c r="W468" i="1"/>
  <c r="G469" i="1"/>
  <c r="N469" i="1" s="1"/>
  <c r="L469" i="1"/>
  <c r="R469" i="1" s="1"/>
  <c r="M469" i="1"/>
  <c r="O469" i="1"/>
  <c r="P469" i="1"/>
  <c r="Q469" i="1"/>
  <c r="S469" i="1"/>
  <c r="T469" i="1"/>
  <c r="V469" i="1"/>
  <c r="G470" i="1"/>
  <c r="L470" i="1"/>
  <c r="M470" i="1"/>
  <c r="R470" i="1" s="1"/>
  <c r="N470" i="1"/>
  <c r="O470" i="1"/>
  <c r="P470" i="1"/>
  <c r="Q470" i="1"/>
  <c r="S470" i="1"/>
  <c r="T470" i="1" s="1"/>
  <c r="U470" i="1"/>
  <c r="G471" i="1"/>
  <c r="N471" i="1" s="1"/>
  <c r="L471" i="1"/>
  <c r="M471" i="1"/>
  <c r="O471" i="1"/>
  <c r="P471" i="1"/>
  <c r="Q471" i="1"/>
  <c r="S471" i="1"/>
  <c r="T471" i="1" s="1"/>
  <c r="G472" i="1"/>
  <c r="N472" i="1" s="1"/>
  <c r="L472" i="1"/>
  <c r="M472" i="1"/>
  <c r="O472" i="1"/>
  <c r="P472" i="1"/>
  <c r="Q472" i="1"/>
  <c r="S472" i="1"/>
  <c r="W472" i="1" s="1"/>
  <c r="V472" i="1"/>
  <c r="G473" i="1"/>
  <c r="L473" i="1"/>
  <c r="M473" i="1"/>
  <c r="N473" i="1"/>
  <c r="R473" i="1" s="1"/>
  <c r="O473" i="1"/>
  <c r="P473" i="1"/>
  <c r="Q473" i="1"/>
  <c r="S473" i="1"/>
  <c r="T473" i="1" s="1"/>
  <c r="U473" i="1"/>
  <c r="V473" i="1"/>
  <c r="W473" i="1"/>
  <c r="G474" i="1"/>
  <c r="L474" i="1"/>
  <c r="M474" i="1"/>
  <c r="N474" i="1"/>
  <c r="O474" i="1"/>
  <c r="P474" i="1"/>
  <c r="Q474" i="1"/>
  <c r="R474" i="1"/>
  <c r="S474" i="1"/>
  <c r="U474" i="1" s="1"/>
  <c r="G475" i="1"/>
  <c r="L475" i="1"/>
  <c r="R475" i="1" s="1"/>
  <c r="M475" i="1"/>
  <c r="N475" i="1"/>
  <c r="O475" i="1"/>
  <c r="P475" i="1"/>
  <c r="Q475" i="1"/>
  <c r="S475" i="1"/>
  <c r="W475" i="1" s="1"/>
  <c r="T475" i="1"/>
  <c r="U475" i="1"/>
  <c r="V475" i="1"/>
  <c r="G476" i="1"/>
  <c r="L476" i="1"/>
  <c r="M476" i="1"/>
  <c r="N476" i="1"/>
  <c r="R476" i="1" s="1"/>
  <c r="O476" i="1"/>
  <c r="P476" i="1"/>
  <c r="Q476" i="1"/>
  <c r="S476" i="1"/>
  <c r="T476" i="1"/>
  <c r="U476" i="1"/>
  <c r="V476" i="1"/>
  <c r="W476" i="1"/>
  <c r="G477" i="1"/>
  <c r="L477" i="1"/>
  <c r="M477" i="1"/>
  <c r="N477" i="1"/>
  <c r="O477" i="1"/>
  <c r="P477" i="1"/>
  <c r="Q477" i="1"/>
  <c r="S477" i="1"/>
  <c r="T477" i="1"/>
  <c r="U477" i="1"/>
  <c r="G478" i="1"/>
  <c r="N478" i="1" s="1"/>
  <c r="L478" i="1"/>
  <c r="M478" i="1"/>
  <c r="O478" i="1"/>
  <c r="P478" i="1"/>
  <c r="Q478" i="1"/>
  <c r="S478" i="1"/>
  <c r="T478" i="1"/>
  <c r="U478" i="1"/>
  <c r="V478" i="1"/>
  <c r="W478" i="1"/>
  <c r="G479" i="1"/>
  <c r="N479" i="1" s="1"/>
  <c r="L479" i="1"/>
  <c r="M479" i="1"/>
  <c r="O479" i="1"/>
  <c r="P479" i="1"/>
  <c r="Q479" i="1"/>
  <c r="S479" i="1"/>
  <c r="U479" i="1" s="1"/>
  <c r="T479" i="1"/>
  <c r="W479" i="1"/>
  <c r="G480" i="1"/>
  <c r="N480" i="1" s="1"/>
  <c r="R480" i="1" s="1"/>
  <c r="L480" i="1"/>
  <c r="M480" i="1"/>
  <c r="O480" i="1"/>
  <c r="P480" i="1"/>
  <c r="Q480" i="1"/>
  <c r="S480" i="1"/>
  <c r="V480" i="1" s="1"/>
  <c r="T480" i="1"/>
  <c r="U480" i="1"/>
  <c r="W480" i="1"/>
  <c r="G481" i="1"/>
  <c r="L481" i="1"/>
  <c r="M481" i="1"/>
  <c r="N481" i="1"/>
  <c r="O481" i="1"/>
  <c r="P481" i="1"/>
  <c r="Q481" i="1"/>
  <c r="S481" i="1"/>
  <c r="T481" i="1" s="1"/>
  <c r="U481" i="1"/>
  <c r="V481" i="1"/>
  <c r="W481" i="1"/>
  <c r="G482" i="1"/>
  <c r="N482" i="1" s="1"/>
  <c r="L482" i="1"/>
  <c r="M482" i="1"/>
  <c r="O482" i="1"/>
  <c r="P482" i="1"/>
  <c r="Q482" i="1"/>
  <c r="S482" i="1"/>
  <c r="U482" i="1" s="1"/>
  <c r="T482" i="1"/>
  <c r="V482" i="1"/>
  <c r="G483" i="1"/>
  <c r="L483" i="1"/>
  <c r="M483" i="1"/>
  <c r="N483" i="1"/>
  <c r="O483" i="1"/>
  <c r="P483" i="1"/>
  <c r="Q483" i="1"/>
  <c r="S483" i="1"/>
  <c r="V483" i="1" s="1"/>
  <c r="G484" i="1"/>
  <c r="L484" i="1"/>
  <c r="M484" i="1"/>
  <c r="N484" i="1"/>
  <c r="O484" i="1"/>
  <c r="P484" i="1"/>
  <c r="Q484" i="1"/>
  <c r="S484" i="1"/>
  <c r="V484" i="1" s="1"/>
  <c r="G485" i="1"/>
  <c r="N485" i="1" s="1"/>
  <c r="L485" i="1"/>
  <c r="R485" i="1" s="1"/>
  <c r="M485" i="1"/>
  <c r="O485" i="1"/>
  <c r="P485" i="1"/>
  <c r="Q485" i="1"/>
  <c r="S485" i="1"/>
  <c r="V485" i="1" s="1"/>
  <c r="T485" i="1"/>
  <c r="G486" i="1"/>
  <c r="L486" i="1"/>
  <c r="M486" i="1"/>
  <c r="R486" i="1" s="1"/>
  <c r="N486" i="1"/>
  <c r="O486" i="1"/>
  <c r="P486" i="1"/>
  <c r="Q486" i="1"/>
  <c r="S486" i="1"/>
  <c r="T486" i="1" s="1"/>
  <c r="U486" i="1"/>
  <c r="W486" i="1"/>
  <c r="G487" i="1"/>
  <c r="N487" i="1" s="1"/>
  <c r="R487" i="1" s="1"/>
  <c r="L487" i="1"/>
  <c r="M487" i="1"/>
  <c r="O487" i="1"/>
  <c r="P487" i="1"/>
  <c r="Q487" i="1"/>
  <c r="S487" i="1"/>
  <c r="G488" i="1"/>
  <c r="N488" i="1" s="1"/>
  <c r="L488" i="1"/>
  <c r="M488" i="1"/>
  <c r="O488" i="1"/>
  <c r="P488" i="1"/>
  <c r="Q488" i="1"/>
  <c r="R488" i="1"/>
  <c r="S488" i="1"/>
  <c r="W488" i="1" s="1"/>
  <c r="G489" i="1"/>
  <c r="L489" i="1"/>
  <c r="R489" i="1" s="1"/>
  <c r="M489" i="1"/>
  <c r="N489" i="1"/>
  <c r="O489" i="1"/>
  <c r="P489" i="1"/>
  <c r="Q489" i="1"/>
  <c r="S489" i="1"/>
  <c r="T489" i="1" s="1"/>
  <c r="U489" i="1"/>
  <c r="V489" i="1"/>
  <c r="W489" i="1"/>
  <c r="G490" i="1"/>
  <c r="N490" i="1" s="1"/>
  <c r="R490" i="1" s="1"/>
  <c r="L490" i="1"/>
  <c r="M490" i="1"/>
  <c r="O490" i="1"/>
  <c r="P490" i="1"/>
  <c r="Q490" i="1"/>
  <c r="S490" i="1"/>
  <c r="G491" i="1"/>
  <c r="L491" i="1"/>
  <c r="M491" i="1"/>
  <c r="N491" i="1"/>
  <c r="O491" i="1"/>
  <c r="P491" i="1"/>
  <c r="Q491" i="1"/>
  <c r="R491" i="1"/>
  <c r="S491" i="1"/>
  <c r="W491" i="1" s="1"/>
  <c r="T491" i="1"/>
  <c r="U491" i="1"/>
  <c r="V491" i="1"/>
  <c r="G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G493" i="1"/>
  <c r="N493" i="1" s="1"/>
  <c r="L493" i="1"/>
  <c r="R493" i="1" s="1"/>
  <c r="M493" i="1"/>
  <c r="O493" i="1"/>
  <c r="P493" i="1"/>
  <c r="Q493" i="1"/>
  <c r="S493" i="1"/>
  <c r="W493" i="1" s="1"/>
  <c r="U493" i="1"/>
  <c r="G494" i="1"/>
  <c r="L494" i="1"/>
  <c r="M494" i="1"/>
  <c r="N494" i="1"/>
  <c r="O494" i="1"/>
  <c r="P494" i="1"/>
  <c r="Q494" i="1"/>
  <c r="S494" i="1"/>
  <c r="T494" i="1"/>
  <c r="U494" i="1"/>
  <c r="V494" i="1"/>
  <c r="W494" i="1"/>
  <c r="G495" i="1"/>
  <c r="N495" i="1" s="1"/>
  <c r="R495" i="1" s="1"/>
  <c r="L495" i="1"/>
  <c r="M495" i="1"/>
  <c r="O495" i="1"/>
  <c r="P495" i="1"/>
  <c r="Q495" i="1"/>
  <c r="S495" i="1"/>
  <c r="U495" i="1" s="1"/>
  <c r="T495" i="1"/>
  <c r="W495" i="1"/>
  <c r="G496" i="1"/>
  <c r="L496" i="1"/>
  <c r="R496" i="1" s="1"/>
  <c r="M496" i="1"/>
  <c r="N496" i="1"/>
  <c r="O496" i="1"/>
  <c r="P496" i="1"/>
  <c r="Q496" i="1"/>
  <c r="S496" i="1"/>
  <c r="V496" i="1" s="1"/>
  <c r="U496" i="1"/>
  <c r="W496" i="1"/>
  <c r="G497" i="1"/>
  <c r="L497" i="1"/>
  <c r="M497" i="1"/>
  <c r="R497" i="1" s="1"/>
  <c r="N497" i="1"/>
  <c r="O497" i="1"/>
  <c r="P497" i="1"/>
  <c r="Q497" i="1"/>
  <c r="S497" i="1"/>
  <c r="T497" i="1" s="1"/>
  <c r="U497" i="1"/>
  <c r="W497" i="1"/>
  <c r="G498" i="1"/>
  <c r="N498" i="1" s="1"/>
  <c r="L498" i="1"/>
  <c r="M498" i="1"/>
  <c r="O498" i="1"/>
  <c r="P498" i="1"/>
  <c r="Q498" i="1"/>
  <c r="R498" i="1"/>
  <c r="S498" i="1"/>
  <c r="W498" i="1" s="1"/>
  <c r="V498" i="1"/>
  <c r="G499" i="1"/>
  <c r="N499" i="1" s="1"/>
  <c r="L499" i="1"/>
  <c r="M499" i="1"/>
  <c r="O499" i="1"/>
  <c r="P499" i="1"/>
  <c r="Q499" i="1"/>
  <c r="S499" i="1"/>
  <c r="U499" i="1" s="1"/>
  <c r="T499" i="1"/>
  <c r="W499" i="1"/>
  <c r="G500" i="1"/>
  <c r="L500" i="1"/>
  <c r="M500" i="1"/>
  <c r="N500" i="1"/>
  <c r="O500" i="1"/>
  <c r="P500" i="1"/>
  <c r="Q500" i="1"/>
  <c r="S500" i="1"/>
  <c r="V500" i="1"/>
  <c r="W500" i="1"/>
  <c r="G501" i="1"/>
  <c r="N501" i="1" s="1"/>
  <c r="R501" i="1" s="1"/>
  <c r="L501" i="1"/>
  <c r="M501" i="1"/>
  <c r="O501" i="1"/>
  <c r="P501" i="1"/>
  <c r="Q501" i="1"/>
  <c r="S501" i="1"/>
  <c r="T501" i="1"/>
  <c r="V501" i="1"/>
  <c r="G502" i="1"/>
  <c r="L502" i="1"/>
  <c r="M502" i="1"/>
  <c r="R502" i="1" s="1"/>
  <c r="N502" i="1"/>
  <c r="O502" i="1"/>
  <c r="P502" i="1"/>
  <c r="Q502" i="1"/>
  <c r="S502" i="1"/>
  <c r="T502" i="1" s="1"/>
  <c r="V502" i="1"/>
  <c r="W502" i="1"/>
  <c r="G503" i="1"/>
  <c r="N503" i="1" s="1"/>
  <c r="L503" i="1"/>
  <c r="R503" i="1" s="1"/>
  <c r="M503" i="1"/>
  <c r="O503" i="1"/>
  <c r="P503" i="1"/>
  <c r="Q503" i="1"/>
  <c r="S503" i="1"/>
  <c r="T503" i="1" s="1"/>
  <c r="U503" i="1"/>
  <c r="V503" i="1"/>
  <c r="W503" i="1"/>
  <c r="G504" i="1"/>
  <c r="N504" i="1" s="1"/>
  <c r="L504" i="1"/>
  <c r="M504" i="1"/>
  <c r="O504" i="1"/>
  <c r="P504" i="1"/>
  <c r="Q504" i="1"/>
  <c r="R504" i="1"/>
  <c r="S504" i="1"/>
  <c r="V504" i="1"/>
  <c r="G505" i="1"/>
  <c r="L505" i="1"/>
  <c r="R505" i="1" s="1"/>
  <c r="M505" i="1"/>
  <c r="N505" i="1"/>
  <c r="O505" i="1"/>
  <c r="P505" i="1"/>
  <c r="Q505" i="1"/>
  <c r="S505" i="1"/>
  <c r="T505" i="1" s="1"/>
  <c r="U505" i="1"/>
  <c r="V505" i="1"/>
  <c r="W505" i="1"/>
  <c r="G506" i="1"/>
  <c r="L506" i="1"/>
  <c r="M506" i="1"/>
  <c r="N506" i="1"/>
  <c r="R506" i="1" s="1"/>
  <c r="O506" i="1"/>
  <c r="P506" i="1"/>
  <c r="Q506" i="1"/>
  <c r="S506" i="1"/>
  <c r="U506" i="1"/>
  <c r="G507" i="1"/>
  <c r="N507" i="1" s="1"/>
  <c r="L507" i="1"/>
  <c r="M507" i="1"/>
  <c r="O507" i="1"/>
  <c r="P507" i="1"/>
  <c r="Q507" i="1"/>
  <c r="S507" i="1"/>
  <c r="W507" i="1" s="1"/>
  <c r="T507" i="1"/>
  <c r="U507" i="1"/>
  <c r="V507" i="1"/>
  <c r="G508" i="1"/>
  <c r="L508" i="1"/>
  <c r="M508" i="1"/>
  <c r="N508" i="1"/>
  <c r="R508" i="1" s="1"/>
  <c r="O508" i="1"/>
  <c r="P508" i="1"/>
  <c r="Q508" i="1"/>
  <c r="S508" i="1"/>
  <c r="T508" i="1"/>
  <c r="U508" i="1"/>
  <c r="V508" i="1"/>
  <c r="W508" i="1"/>
  <c r="G509" i="1"/>
  <c r="N509" i="1" s="1"/>
  <c r="R509" i="1" s="1"/>
  <c r="L509" i="1"/>
  <c r="M509" i="1"/>
  <c r="O509" i="1"/>
  <c r="P509" i="1"/>
  <c r="Q509" i="1"/>
  <c r="S509" i="1"/>
  <c r="G510" i="1"/>
  <c r="N510" i="1" s="1"/>
  <c r="L510" i="1"/>
  <c r="M510" i="1"/>
  <c r="O510" i="1"/>
  <c r="P510" i="1"/>
  <c r="Q510" i="1"/>
  <c r="S510" i="1"/>
  <c r="T510" i="1"/>
  <c r="U510" i="1"/>
  <c r="V510" i="1"/>
  <c r="W510" i="1"/>
  <c r="G511" i="1"/>
  <c r="N511" i="1" s="1"/>
  <c r="L511" i="1"/>
  <c r="M511" i="1"/>
  <c r="R511" i="1" s="1"/>
  <c r="O511" i="1"/>
  <c r="P511" i="1"/>
  <c r="Q511" i="1"/>
  <c r="S511" i="1"/>
  <c r="V511" i="1" s="1"/>
  <c r="T511" i="1"/>
  <c r="U511" i="1"/>
  <c r="W511" i="1"/>
  <c r="G512" i="1"/>
  <c r="N512" i="1" s="1"/>
  <c r="L512" i="1"/>
  <c r="M512" i="1"/>
  <c r="O512" i="1"/>
  <c r="P512" i="1"/>
  <c r="Q512" i="1"/>
  <c r="S512" i="1"/>
  <c r="T512" i="1"/>
  <c r="G513" i="1"/>
  <c r="L513" i="1"/>
  <c r="M513" i="1"/>
  <c r="N513" i="1"/>
  <c r="O513" i="1"/>
  <c r="P513" i="1"/>
  <c r="Q513" i="1"/>
  <c r="S513" i="1"/>
  <c r="W513" i="1" s="1"/>
  <c r="T513" i="1"/>
  <c r="G514" i="1"/>
  <c r="N514" i="1" s="1"/>
  <c r="R514" i="1" s="1"/>
  <c r="L514" i="1"/>
  <c r="M514" i="1"/>
  <c r="O514" i="1"/>
  <c r="P514" i="1"/>
  <c r="Q514" i="1"/>
  <c r="S514" i="1"/>
  <c r="U514" i="1" s="1"/>
  <c r="V514" i="1"/>
  <c r="W514" i="1"/>
  <c r="G515" i="1"/>
  <c r="N515" i="1" s="1"/>
  <c r="L515" i="1"/>
  <c r="M515" i="1"/>
  <c r="O515" i="1"/>
  <c r="P515" i="1"/>
  <c r="Q515" i="1"/>
  <c r="S515" i="1"/>
  <c r="T515" i="1" s="1"/>
  <c r="U515" i="1"/>
  <c r="W515" i="1"/>
  <c r="G516" i="1"/>
  <c r="L516" i="1"/>
  <c r="M516" i="1"/>
  <c r="N516" i="1"/>
  <c r="O516" i="1"/>
  <c r="P516" i="1"/>
  <c r="Q516" i="1"/>
  <c r="S516" i="1"/>
  <c r="W516" i="1"/>
  <c r="G517" i="1"/>
  <c r="N517" i="1" s="1"/>
  <c r="L517" i="1"/>
  <c r="M517" i="1"/>
  <c r="O517" i="1"/>
  <c r="P517" i="1"/>
  <c r="Q517" i="1"/>
  <c r="R517" i="1"/>
  <c r="S517" i="1"/>
  <c r="V517" i="1" s="1"/>
  <c r="T517" i="1"/>
  <c r="G518" i="1"/>
  <c r="L518" i="1"/>
  <c r="M518" i="1"/>
  <c r="N518" i="1"/>
  <c r="O518" i="1"/>
  <c r="P518" i="1"/>
  <c r="Q518" i="1"/>
  <c r="S518" i="1"/>
  <c r="U518" i="1" s="1"/>
  <c r="T518" i="1"/>
  <c r="V518" i="1"/>
  <c r="W518" i="1"/>
  <c r="G519" i="1"/>
  <c r="N519" i="1" s="1"/>
  <c r="L519" i="1"/>
  <c r="R519" i="1" s="1"/>
  <c r="M519" i="1"/>
  <c r="O519" i="1"/>
  <c r="P519" i="1"/>
  <c r="Q519" i="1"/>
  <c r="S519" i="1"/>
  <c r="T519" i="1" s="1"/>
  <c r="U519" i="1"/>
  <c r="V519" i="1"/>
  <c r="W519" i="1"/>
  <c r="G520" i="1"/>
  <c r="N520" i="1" s="1"/>
  <c r="L520" i="1"/>
  <c r="M520" i="1"/>
  <c r="O520" i="1"/>
  <c r="P520" i="1"/>
  <c r="Q520" i="1"/>
  <c r="R520" i="1"/>
  <c r="S520" i="1"/>
  <c r="W520" i="1" s="1"/>
  <c r="T520" i="1"/>
  <c r="G521" i="1"/>
  <c r="L521" i="1"/>
  <c r="M521" i="1"/>
  <c r="N521" i="1"/>
  <c r="O521" i="1"/>
  <c r="P521" i="1"/>
  <c r="Q521" i="1"/>
  <c r="S521" i="1"/>
  <c r="T521" i="1" s="1"/>
  <c r="U521" i="1"/>
  <c r="V521" i="1"/>
  <c r="W521" i="1"/>
  <c r="G522" i="1"/>
  <c r="N522" i="1" s="1"/>
  <c r="R522" i="1" s="1"/>
  <c r="L522" i="1"/>
  <c r="M522" i="1"/>
  <c r="O522" i="1"/>
  <c r="P522" i="1"/>
  <c r="Q522" i="1"/>
  <c r="S522" i="1"/>
  <c r="U522" i="1" s="1"/>
  <c r="G523" i="1"/>
  <c r="N523" i="1" s="1"/>
  <c r="R523" i="1" s="1"/>
  <c r="L523" i="1"/>
  <c r="M523" i="1"/>
  <c r="O523" i="1"/>
  <c r="P523" i="1"/>
  <c r="Q523" i="1"/>
  <c r="S523" i="1"/>
  <c r="U523" i="1" s="1"/>
  <c r="T523" i="1"/>
  <c r="G524" i="1"/>
  <c r="N524" i="1" s="1"/>
  <c r="L524" i="1"/>
  <c r="M524" i="1"/>
  <c r="O524" i="1"/>
  <c r="R524" i="1" s="1"/>
  <c r="P524" i="1"/>
  <c r="Q524" i="1"/>
  <c r="S524" i="1"/>
  <c r="T524" i="1"/>
  <c r="U524" i="1"/>
  <c r="V524" i="1"/>
  <c r="W524" i="1"/>
  <c r="G525" i="1"/>
  <c r="N525" i="1" s="1"/>
  <c r="R525" i="1" s="1"/>
  <c r="L525" i="1"/>
  <c r="M525" i="1"/>
  <c r="O525" i="1"/>
  <c r="P525" i="1"/>
  <c r="Q525" i="1"/>
  <c r="S525" i="1"/>
  <c r="V525" i="1" s="1"/>
  <c r="T525" i="1"/>
  <c r="U525" i="1"/>
  <c r="W525" i="1"/>
  <c r="G526" i="1"/>
  <c r="L526" i="1"/>
  <c r="M526" i="1"/>
  <c r="N526" i="1"/>
  <c r="O526" i="1"/>
  <c r="P526" i="1"/>
  <c r="Q526" i="1"/>
  <c r="S526" i="1"/>
  <c r="T526" i="1"/>
  <c r="U526" i="1"/>
  <c r="V526" i="1"/>
  <c r="W526" i="1"/>
  <c r="G527" i="1"/>
  <c r="L527" i="1"/>
  <c r="M527" i="1"/>
  <c r="N527" i="1"/>
  <c r="O527" i="1"/>
  <c r="P527" i="1"/>
  <c r="Q527" i="1"/>
  <c r="R527" i="1"/>
  <c r="S527" i="1"/>
  <c r="V527" i="1" s="1"/>
  <c r="T527" i="1"/>
  <c r="U527" i="1"/>
  <c r="W527" i="1"/>
  <c r="G528" i="1"/>
  <c r="L528" i="1"/>
  <c r="M528" i="1"/>
  <c r="N528" i="1"/>
  <c r="R528" i="1" s="1"/>
  <c r="O528" i="1"/>
  <c r="P528" i="1"/>
  <c r="Q528" i="1"/>
  <c r="S528" i="1"/>
  <c r="V528" i="1" s="1"/>
  <c r="W528" i="1"/>
  <c r="G529" i="1"/>
  <c r="L529" i="1"/>
  <c r="M529" i="1"/>
  <c r="N529" i="1"/>
  <c r="O529" i="1"/>
  <c r="P529" i="1"/>
  <c r="Q529" i="1"/>
  <c r="S529" i="1"/>
  <c r="T529" i="1" s="1"/>
  <c r="U529" i="1"/>
  <c r="V529" i="1"/>
  <c r="G530" i="1"/>
  <c r="N530" i="1" s="1"/>
  <c r="L530" i="1"/>
  <c r="M530" i="1"/>
  <c r="O530" i="1"/>
  <c r="P530" i="1"/>
  <c r="Q530" i="1"/>
  <c r="S530" i="1"/>
  <c r="T530" i="1"/>
  <c r="G531" i="1"/>
  <c r="L531" i="1"/>
  <c r="M531" i="1"/>
  <c r="N531" i="1"/>
  <c r="O531" i="1"/>
  <c r="P531" i="1"/>
  <c r="Q531" i="1"/>
  <c r="S531" i="1"/>
  <c r="W531" i="1" s="1"/>
  <c r="T531" i="1"/>
  <c r="U531" i="1"/>
  <c r="V531" i="1"/>
  <c r="G532" i="1"/>
  <c r="L532" i="1"/>
  <c r="R532" i="1" s="1"/>
  <c r="M532" i="1"/>
  <c r="N532" i="1"/>
  <c r="O532" i="1"/>
  <c r="P532" i="1"/>
  <c r="Q532" i="1"/>
  <c r="S532" i="1"/>
  <c r="V532" i="1"/>
  <c r="W532" i="1"/>
  <c r="G533" i="1"/>
  <c r="N533" i="1" s="1"/>
  <c r="L533" i="1"/>
  <c r="R533" i="1" s="1"/>
  <c r="M533" i="1"/>
  <c r="O533" i="1"/>
  <c r="P533" i="1"/>
  <c r="Q533" i="1"/>
  <c r="S533" i="1"/>
  <c r="G534" i="1"/>
  <c r="L534" i="1"/>
  <c r="M534" i="1"/>
  <c r="N534" i="1"/>
  <c r="O534" i="1"/>
  <c r="P534" i="1"/>
  <c r="Q534" i="1"/>
  <c r="R534" i="1"/>
  <c r="S534" i="1"/>
  <c r="V534" i="1" s="1"/>
  <c r="T534" i="1"/>
  <c r="G535" i="1"/>
  <c r="N535" i="1" s="1"/>
  <c r="R535" i="1" s="1"/>
  <c r="L535" i="1"/>
  <c r="M535" i="1"/>
  <c r="O535" i="1"/>
  <c r="P535" i="1"/>
  <c r="Q535" i="1"/>
  <c r="S535" i="1"/>
  <c r="T535" i="1" s="1"/>
  <c r="V535" i="1"/>
  <c r="W535" i="1"/>
  <c r="G536" i="1"/>
  <c r="N536" i="1" s="1"/>
  <c r="L536" i="1"/>
  <c r="R536" i="1" s="1"/>
  <c r="M536" i="1"/>
  <c r="O536" i="1"/>
  <c r="P536" i="1"/>
  <c r="Q536" i="1"/>
  <c r="S536" i="1"/>
  <c r="W536" i="1" s="1"/>
  <c r="T536" i="1"/>
  <c r="U536" i="1"/>
  <c r="V536" i="1"/>
  <c r="G537" i="1"/>
  <c r="L537" i="1"/>
  <c r="M537" i="1"/>
  <c r="N537" i="1"/>
  <c r="O537" i="1"/>
  <c r="P537" i="1"/>
  <c r="Q537" i="1"/>
  <c r="R537" i="1"/>
  <c r="S537" i="1"/>
  <c r="T537" i="1" s="1"/>
  <c r="U537" i="1"/>
  <c r="V537" i="1"/>
  <c r="W537" i="1"/>
  <c r="G538" i="1"/>
  <c r="L538" i="1"/>
  <c r="R538" i="1" s="1"/>
  <c r="M538" i="1"/>
  <c r="N538" i="1"/>
  <c r="O538" i="1"/>
  <c r="P538" i="1"/>
  <c r="Q538" i="1"/>
  <c r="S538" i="1"/>
  <c r="U538" i="1"/>
  <c r="G539" i="1"/>
  <c r="N539" i="1" s="1"/>
  <c r="L539" i="1"/>
  <c r="R539" i="1" s="1"/>
  <c r="M539" i="1"/>
  <c r="O539" i="1"/>
  <c r="P539" i="1"/>
  <c r="Q539" i="1"/>
  <c r="S539" i="1"/>
  <c r="T539" i="1"/>
  <c r="U539" i="1"/>
  <c r="V539" i="1"/>
  <c r="W539" i="1"/>
  <c r="G540" i="1"/>
  <c r="L540" i="1"/>
  <c r="M540" i="1"/>
  <c r="N540" i="1"/>
  <c r="R540" i="1" s="1"/>
  <c r="O540" i="1"/>
  <c r="P540" i="1"/>
  <c r="Q540" i="1"/>
  <c r="S540" i="1"/>
  <c r="T540" i="1"/>
  <c r="U540" i="1"/>
  <c r="V540" i="1"/>
  <c r="W540" i="1"/>
  <c r="G541" i="1"/>
  <c r="L541" i="1"/>
  <c r="M541" i="1"/>
  <c r="N541" i="1"/>
  <c r="O541" i="1"/>
  <c r="P541" i="1"/>
  <c r="Q541" i="1"/>
  <c r="R541" i="1"/>
  <c r="S541" i="1"/>
  <c r="V541" i="1" s="1"/>
  <c r="T541" i="1"/>
  <c r="U541" i="1"/>
  <c r="W541" i="1"/>
  <c r="G542" i="1"/>
  <c r="L542" i="1"/>
  <c r="R542" i="1" s="1"/>
  <c r="M542" i="1"/>
  <c r="N542" i="1"/>
  <c r="O542" i="1"/>
  <c r="P542" i="1"/>
  <c r="Q542" i="1"/>
  <c r="S542" i="1"/>
  <c r="T542" i="1"/>
  <c r="U542" i="1"/>
  <c r="V542" i="1"/>
  <c r="W542" i="1"/>
  <c r="G543" i="1"/>
  <c r="N543" i="1" s="1"/>
  <c r="L543" i="1"/>
  <c r="M543" i="1"/>
  <c r="R543" i="1" s="1"/>
  <c r="O543" i="1"/>
  <c r="P543" i="1"/>
  <c r="Q543" i="1"/>
  <c r="S543" i="1"/>
  <c r="V543" i="1" s="1"/>
  <c r="W543" i="1"/>
  <c r="G544" i="1"/>
  <c r="N544" i="1" s="1"/>
  <c r="L544" i="1"/>
  <c r="M544" i="1"/>
  <c r="O544" i="1"/>
  <c r="P544" i="1"/>
  <c r="Q544" i="1"/>
  <c r="S544" i="1"/>
  <c r="T544" i="1" s="1"/>
  <c r="W544" i="1"/>
  <c r="G545" i="1"/>
  <c r="N545" i="1" s="1"/>
  <c r="L545" i="1"/>
  <c r="M545" i="1"/>
  <c r="O545" i="1"/>
  <c r="P545" i="1"/>
  <c r="Q545" i="1"/>
  <c r="S545" i="1"/>
  <c r="V545" i="1" s="1"/>
  <c r="T545" i="1"/>
  <c r="U545" i="1"/>
  <c r="G546" i="1"/>
  <c r="L546" i="1"/>
  <c r="R546" i="1" s="1"/>
  <c r="M546" i="1"/>
  <c r="N546" i="1"/>
  <c r="O546" i="1"/>
  <c r="P546" i="1"/>
  <c r="Q546" i="1"/>
  <c r="S546" i="1"/>
  <c r="T546" i="1" s="1"/>
  <c r="W546" i="1"/>
  <c r="G547" i="1"/>
  <c r="L547" i="1"/>
  <c r="M547" i="1"/>
  <c r="N547" i="1"/>
  <c r="O547" i="1"/>
  <c r="P547" i="1"/>
  <c r="Q547" i="1"/>
  <c r="S547" i="1"/>
  <c r="W547" i="1" s="1"/>
  <c r="T547" i="1"/>
  <c r="U547" i="1"/>
  <c r="V547" i="1"/>
  <c r="G548" i="1"/>
  <c r="L548" i="1"/>
  <c r="M548" i="1"/>
  <c r="N548" i="1"/>
  <c r="O548" i="1"/>
  <c r="P548" i="1"/>
  <c r="Q548" i="1"/>
  <c r="R548" i="1"/>
  <c r="S548" i="1"/>
  <c r="U548" i="1" s="1"/>
  <c r="T548" i="1"/>
  <c r="V548" i="1"/>
  <c r="W548" i="1"/>
  <c r="G549" i="1"/>
  <c r="N549" i="1" s="1"/>
  <c r="L549" i="1"/>
  <c r="M549" i="1"/>
  <c r="O549" i="1"/>
  <c r="P549" i="1"/>
  <c r="Q549" i="1"/>
  <c r="S549" i="1"/>
  <c r="V549" i="1" s="1"/>
  <c r="T549" i="1"/>
  <c r="U549" i="1"/>
  <c r="W549" i="1"/>
  <c r="G550" i="1"/>
  <c r="L550" i="1"/>
  <c r="R550" i="1" s="1"/>
  <c r="M550" i="1"/>
  <c r="N550" i="1"/>
  <c r="O550" i="1"/>
  <c r="P550" i="1"/>
  <c r="Q550" i="1"/>
  <c r="S550" i="1"/>
  <c r="U550" i="1" s="1"/>
  <c r="G551" i="1"/>
  <c r="N551" i="1" s="1"/>
  <c r="L551" i="1"/>
  <c r="M551" i="1"/>
  <c r="R551" i="1" s="1"/>
  <c r="O551" i="1"/>
  <c r="P551" i="1"/>
  <c r="Q551" i="1"/>
  <c r="S551" i="1"/>
  <c r="T551" i="1" s="1"/>
  <c r="U551" i="1"/>
  <c r="W551" i="1"/>
  <c r="G552" i="1"/>
  <c r="N552" i="1" s="1"/>
  <c r="L552" i="1"/>
  <c r="M552" i="1"/>
  <c r="O552" i="1"/>
  <c r="P552" i="1"/>
  <c r="Q552" i="1"/>
  <c r="S552" i="1"/>
  <c r="W552" i="1" s="1"/>
  <c r="T552" i="1"/>
  <c r="U552" i="1"/>
  <c r="V552" i="1"/>
  <c r="G553" i="1"/>
  <c r="L553" i="1"/>
  <c r="R553" i="1" s="1"/>
  <c r="M553" i="1"/>
  <c r="N553" i="1"/>
  <c r="O553" i="1"/>
  <c r="P553" i="1"/>
  <c r="Q553" i="1"/>
  <c r="S553" i="1"/>
  <c r="U553" i="1" s="1"/>
  <c r="W553" i="1"/>
  <c r="G554" i="1"/>
  <c r="L554" i="1"/>
  <c r="R554" i="1" s="1"/>
  <c r="M554" i="1"/>
  <c r="N554" i="1"/>
  <c r="O554" i="1"/>
  <c r="P554" i="1"/>
  <c r="Q554" i="1"/>
  <c r="S554" i="1"/>
  <c r="T554" i="1"/>
  <c r="V554" i="1"/>
  <c r="G555" i="1"/>
  <c r="N555" i="1" s="1"/>
  <c r="R555" i="1" s="1"/>
  <c r="L555" i="1"/>
  <c r="M555" i="1"/>
  <c r="O555" i="1"/>
  <c r="P555" i="1"/>
  <c r="Q555" i="1"/>
  <c r="S555" i="1"/>
  <c r="T555" i="1" s="1"/>
  <c r="G556" i="1"/>
  <c r="N556" i="1" s="1"/>
  <c r="L556" i="1"/>
  <c r="M556" i="1"/>
  <c r="O556" i="1"/>
  <c r="P556" i="1"/>
  <c r="Q556" i="1"/>
  <c r="S556" i="1"/>
  <c r="T556" i="1"/>
  <c r="U556" i="1"/>
  <c r="V556" i="1"/>
  <c r="W556" i="1"/>
  <c r="G557" i="1"/>
  <c r="L557" i="1"/>
  <c r="R557" i="1" s="1"/>
  <c r="M557" i="1"/>
  <c r="N557" i="1"/>
  <c r="O557" i="1"/>
  <c r="P557" i="1"/>
  <c r="Q557" i="1"/>
  <c r="S557" i="1"/>
  <c r="V557" i="1" s="1"/>
  <c r="T557" i="1"/>
  <c r="U557" i="1"/>
  <c r="W557" i="1"/>
  <c r="G558" i="1"/>
  <c r="L558" i="1"/>
  <c r="R558" i="1" s="1"/>
  <c r="M558" i="1"/>
  <c r="N558" i="1"/>
  <c r="O558" i="1"/>
  <c r="P558" i="1"/>
  <c r="Q558" i="1"/>
  <c r="S558" i="1"/>
  <c r="T558" i="1"/>
  <c r="U558" i="1"/>
  <c r="V558" i="1"/>
  <c r="W558" i="1"/>
  <c r="G559" i="1"/>
  <c r="L559" i="1"/>
  <c r="M559" i="1"/>
  <c r="R559" i="1" s="1"/>
  <c r="N559" i="1"/>
  <c r="O559" i="1"/>
  <c r="P559" i="1"/>
  <c r="Q559" i="1"/>
  <c r="S559" i="1"/>
  <c r="U559" i="1" s="1"/>
  <c r="T559" i="1"/>
  <c r="G560" i="1"/>
  <c r="N560" i="1" s="1"/>
  <c r="L560" i="1"/>
  <c r="R560" i="1" s="1"/>
  <c r="M560" i="1"/>
  <c r="O560" i="1"/>
  <c r="P560" i="1"/>
  <c r="Q560" i="1"/>
  <c r="S560" i="1"/>
  <c r="T560" i="1"/>
  <c r="U560" i="1"/>
  <c r="V560" i="1"/>
  <c r="W560" i="1"/>
  <c r="G561" i="1"/>
  <c r="L561" i="1"/>
  <c r="M561" i="1"/>
  <c r="N561" i="1"/>
  <c r="O561" i="1"/>
  <c r="P561" i="1"/>
  <c r="Q561" i="1"/>
  <c r="S561" i="1"/>
  <c r="T561" i="1" s="1"/>
  <c r="U561" i="1"/>
  <c r="V561" i="1"/>
  <c r="G562" i="1"/>
  <c r="L562" i="1"/>
  <c r="M562" i="1"/>
  <c r="N562" i="1"/>
  <c r="R562" i="1" s="1"/>
  <c r="O562" i="1"/>
  <c r="P562" i="1"/>
  <c r="Q562" i="1"/>
  <c r="S562" i="1"/>
  <c r="T562" i="1"/>
  <c r="W562" i="1"/>
  <c r="G563" i="1"/>
  <c r="L563" i="1"/>
  <c r="M563" i="1"/>
  <c r="N563" i="1"/>
  <c r="O563" i="1"/>
  <c r="P563" i="1"/>
  <c r="Q563" i="1"/>
  <c r="S563" i="1"/>
  <c r="V563" i="1" s="1"/>
  <c r="T563" i="1"/>
  <c r="U563" i="1"/>
  <c r="G564" i="1"/>
  <c r="L564" i="1"/>
  <c r="R564" i="1" s="1"/>
  <c r="M564" i="1"/>
  <c r="N564" i="1"/>
  <c r="O564" i="1"/>
  <c r="P564" i="1"/>
  <c r="Q564" i="1"/>
  <c r="S564" i="1"/>
  <c r="U564" i="1" s="1"/>
  <c r="V564" i="1"/>
  <c r="W564" i="1"/>
  <c r="G565" i="1"/>
  <c r="N565" i="1" s="1"/>
  <c r="L565" i="1"/>
  <c r="R565" i="1" s="1"/>
  <c r="M565" i="1"/>
  <c r="O565" i="1"/>
  <c r="P565" i="1"/>
  <c r="Q565" i="1"/>
  <c r="S565" i="1"/>
  <c r="T565" i="1" s="1"/>
  <c r="U565" i="1"/>
  <c r="V565" i="1"/>
  <c r="W565" i="1"/>
  <c r="G566" i="1"/>
  <c r="L566" i="1"/>
  <c r="M566" i="1"/>
  <c r="N566" i="1"/>
  <c r="O566" i="1"/>
  <c r="P566" i="1"/>
  <c r="Q566" i="1"/>
  <c r="R566" i="1"/>
  <c r="S566" i="1"/>
  <c r="T566" i="1" s="1"/>
  <c r="G567" i="1"/>
  <c r="N567" i="1" s="1"/>
  <c r="L567" i="1"/>
  <c r="M567" i="1"/>
  <c r="R567" i="1" s="1"/>
  <c r="O567" i="1"/>
  <c r="P567" i="1"/>
  <c r="Q567" i="1"/>
  <c r="S567" i="1"/>
  <c r="U567" i="1" s="1"/>
  <c r="W567" i="1"/>
  <c r="G568" i="1"/>
  <c r="L568" i="1"/>
  <c r="R568" i="1" s="1"/>
  <c r="M568" i="1"/>
  <c r="N568" i="1"/>
  <c r="O568" i="1"/>
  <c r="P568" i="1"/>
  <c r="Q568" i="1"/>
  <c r="S568" i="1"/>
  <c r="W568" i="1" s="1"/>
  <c r="T568" i="1"/>
  <c r="U568" i="1"/>
  <c r="G569" i="1"/>
  <c r="L569" i="1"/>
  <c r="M569" i="1"/>
  <c r="N569" i="1"/>
  <c r="O569" i="1"/>
  <c r="P569" i="1"/>
  <c r="Q569" i="1"/>
  <c r="R569" i="1"/>
  <c r="S569" i="1"/>
  <c r="T569" i="1" s="1"/>
  <c r="U569" i="1"/>
  <c r="V569" i="1"/>
  <c r="W569" i="1"/>
  <c r="G570" i="1"/>
  <c r="N570" i="1" s="1"/>
  <c r="L570" i="1"/>
  <c r="M570" i="1"/>
  <c r="O570" i="1"/>
  <c r="P570" i="1"/>
  <c r="Q570" i="1"/>
  <c r="S570" i="1"/>
  <c r="T570" i="1"/>
  <c r="V570" i="1"/>
  <c r="G571" i="1"/>
  <c r="L571" i="1"/>
  <c r="M571" i="1"/>
  <c r="N571" i="1"/>
  <c r="O571" i="1"/>
  <c r="P571" i="1"/>
  <c r="Q571" i="1"/>
  <c r="R571" i="1"/>
  <c r="S571" i="1"/>
  <c r="U571" i="1" s="1"/>
  <c r="T571" i="1"/>
  <c r="V571" i="1"/>
  <c r="G572" i="1"/>
  <c r="N572" i="1" s="1"/>
  <c r="L572" i="1"/>
  <c r="M572" i="1"/>
  <c r="O572" i="1"/>
  <c r="R572" i="1" s="1"/>
  <c r="P572" i="1"/>
  <c r="Q572" i="1"/>
  <c r="S572" i="1"/>
  <c r="T572" i="1"/>
  <c r="U572" i="1"/>
  <c r="V572" i="1"/>
  <c r="W572" i="1"/>
  <c r="G573" i="1"/>
  <c r="L573" i="1"/>
  <c r="M573" i="1"/>
  <c r="N573" i="1"/>
  <c r="O573" i="1"/>
  <c r="P573" i="1"/>
  <c r="Q573" i="1"/>
  <c r="R573" i="1"/>
  <c r="S573" i="1"/>
  <c r="V573" i="1" s="1"/>
  <c r="G574" i="1"/>
  <c r="L574" i="1"/>
  <c r="R574" i="1" s="1"/>
  <c r="M574" i="1"/>
  <c r="N574" i="1"/>
  <c r="O574" i="1"/>
  <c r="P574" i="1"/>
  <c r="Q574" i="1"/>
  <c r="S574" i="1"/>
  <c r="T574" i="1"/>
  <c r="U574" i="1"/>
  <c r="V574" i="1"/>
  <c r="W574" i="1"/>
  <c r="G575" i="1"/>
  <c r="L575" i="1"/>
  <c r="M575" i="1"/>
  <c r="R575" i="1" s="1"/>
  <c r="N575" i="1"/>
  <c r="O575" i="1"/>
  <c r="P575" i="1"/>
  <c r="Q575" i="1"/>
  <c r="S575" i="1"/>
  <c r="T575" i="1" s="1"/>
  <c r="G576" i="1"/>
  <c r="L576" i="1"/>
  <c r="M576" i="1"/>
  <c r="N576" i="1"/>
  <c r="R576" i="1" s="1"/>
  <c r="O576" i="1"/>
  <c r="P576" i="1"/>
  <c r="Q576" i="1"/>
  <c r="S576" i="1"/>
  <c r="W576" i="1" s="1"/>
  <c r="T576" i="1"/>
  <c r="U576" i="1"/>
  <c r="V576" i="1"/>
  <c r="G577" i="1"/>
  <c r="L577" i="1"/>
  <c r="M577" i="1"/>
  <c r="N577" i="1"/>
  <c r="O577" i="1"/>
  <c r="P577" i="1"/>
  <c r="Q577" i="1"/>
  <c r="S577" i="1"/>
  <c r="T577" i="1" s="1"/>
  <c r="G578" i="1"/>
  <c r="N578" i="1" s="1"/>
  <c r="L578" i="1"/>
  <c r="M578" i="1"/>
  <c r="O578" i="1"/>
  <c r="P578" i="1"/>
  <c r="Q578" i="1"/>
  <c r="S578" i="1"/>
  <c r="U578" i="1" s="1"/>
  <c r="T578" i="1"/>
  <c r="V578" i="1"/>
  <c r="W578" i="1"/>
  <c r="G579" i="1"/>
  <c r="L579" i="1"/>
  <c r="M579" i="1"/>
  <c r="N579" i="1"/>
  <c r="O579" i="1"/>
  <c r="P579" i="1"/>
  <c r="Q579" i="1"/>
  <c r="S579" i="1"/>
  <c r="V579" i="1" s="1"/>
  <c r="T579" i="1"/>
  <c r="U579" i="1"/>
  <c r="G580" i="1"/>
  <c r="L580" i="1"/>
  <c r="M580" i="1"/>
  <c r="N580" i="1"/>
  <c r="R580" i="1" s="1"/>
  <c r="O580" i="1"/>
  <c r="P580" i="1"/>
  <c r="Q580" i="1"/>
  <c r="S580" i="1"/>
  <c r="U580" i="1" s="1"/>
  <c r="T580" i="1"/>
  <c r="V580" i="1"/>
  <c r="W580" i="1"/>
  <c r="G581" i="1"/>
  <c r="N581" i="1" s="1"/>
  <c r="L581" i="1"/>
  <c r="M581" i="1"/>
  <c r="O581" i="1"/>
  <c r="P581" i="1"/>
  <c r="Q581" i="1"/>
  <c r="R581" i="1"/>
  <c r="S581" i="1"/>
  <c r="U581" i="1" s="1"/>
  <c r="T581" i="1"/>
  <c r="G582" i="1"/>
  <c r="L582" i="1"/>
  <c r="R582" i="1" s="1"/>
  <c r="M582" i="1"/>
  <c r="N582" i="1"/>
  <c r="O582" i="1"/>
  <c r="P582" i="1"/>
  <c r="Q582" i="1"/>
  <c r="S582" i="1"/>
  <c r="T582" i="1"/>
  <c r="U582" i="1"/>
  <c r="V582" i="1"/>
  <c r="W582" i="1"/>
  <c r="G583" i="1"/>
  <c r="N583" i="1" s="1"/>
  <c r="L583" i="1"/>
  <c r="M583" i="1"/>
  <c r="O583" i="1"/>
  <c r="P583" i="1"/>
  <c r="Q583" i="1"/>
  <c r="R583" i="1"/>
  <c r="S583" i="1"/>
  <c r="W583" i="1" s="1"/>
  <c r="U583" i="1"/>
  <c r="G584" i="1"/>
  <c r="L584" i="1"/>
  <c r="M584" i="1"/>
  <c r="R584" i="1" s="1"/>
  <c r="N584" i="1"/>
  <c r="O584" i="1"/>
  <c r="P584" i="1"/>
  <c r="Q584" i="1"/>
  <c r="S584" i="1"/>
  <c r="W584" i="1" s="1"/>
  <c r="V584" i="1"/>
  <c r="G585" i="1"/>
  <c r="N585" i="1" s="1"/>
  <c r="R585" i="1" s="1"/>
  <c r="L585" i="1"/>
  <c r="M585" i="1"/>
  <c r="O585" i="1"/>
  <c r="P585" i="1"/>
  <c r="Q585" i="1"/>
  <c r="S585" i="1"/>
  <c r="T585" i="1" s="1"/>
  <c r="U585" i="1"/>
  <c r="G586" i="1"/>
  <c r="L586" i="1"/>
  <c r="R586" i="1" s="1"/>
  <c r="M586" i="1"/>
  <c r="N586" i="1"/>
  <c r="O586" i="1"/>
  <c r="P586" i="1"/>
  <c r="Q586" i="1"/>
  <c r="S586" i="1"/>
  <c r="W586" i="1" s="1"/>
  <c r="T586" i="1"/>
  <c r="U586" i="1"/>
  <c r="V586" i="1"/>
  <c r="G587" i="1"/>
  <c r="N587" i="1" s="1"/>
  <c r="L587" i="1"/>
  <c r="R587" i="1" s="1"/>
  <c r="M587" i="1"/>
  <c r="O587" i="1"/>
  <c r="P587" i="1"/>
  <c r="Q587" i="1"/>
  <c r="S587" i="1"/>
  <c r="G588" i="1"/>
  <c r="L588" i="1"/>
  <c r="M588" i="1"/>
  <c r="N588" i="1"/>
  <c r="R588" i="1" s="1"/>
  <c r="O588" i="1"/>
  <c r="P588" i="1"/>
  <c r="Q588" i="1"/>
  <c r="S588" i="1"/>
  <c r="T588" i="1"/>
  <c r="U588" i="1"/>
  <c r="V588" i="1"/>
  <c r="W588" i="1"/>
  <c r="G589" i="1"/>
  <c r="L589" i="1"/>
  <c r="M589" i="1"/>
  <c r="N589" i="1"/>
  <c r="O589" i="1"/>
  <c r="P589" i="1"/>
  <c r="Q589" i="1"/>
  <c r="R589" i="1"/>
  <c r="S589" i="1"/>
  <c r="V589" i="1" s="1"/>
  <c r="T589" i="1"/>
  <c r="G590" i="1"/>
  <c r="L590" i="1"/>
  <c r="R590" i="1" s="1"/>
  <c r="M590" i="1"/>
  <c r="N590" i="1"/>
  <c r="O590" i="1"/>
  <c r="P590" i="1"/>
  <c r="Q590" i="1"/>
  <c r="S590" i="1"/>
  <c r="T590" i="1"/>
  <c r="U590" i="1"/>
  <c r="V590" i="1"/>
  <c r="W590" i="1"/>
  <c r="G591" i="1"/>
  <c r="N591" i="1" s="1"/>
  <c r="L591" i="1"/>
  <c r="M591" i="1"/>
  <c r="O591" i="1"/>
  <c r="P591" i="1"/>
  <c r="Q591" i="1"/>
  <c r="S591" i="1"/>
  <c r="G592" i="1"/>
  <c r="L592" i="1"/>
  <c r="M592" i="1"/>
  <c r="R592" i="1" s="1"/>
  <c r="N592" i="1"/>
  <c r="O592" i="1"/>
  <c r="P592" i="1"/>
  <c r="Q592" i="1"/>
  <c r="S592" i="1"/>
  <c r="V592" i="1" s="1"/>
  <c r="T592" i="1"/>
  <c r="W592" i="1"/>
  <c r="G593" i="1"/>
  <c r="L593" i="1"/>
  <c r="M593" i="1"/>
  <c r="N593" i="1"/>
  <c r="O593" i="1"/>
  <c r="P593" i="1"/>
  <c r="Q593" i="1"/>
  <c r="S593" i="1"/>
  <c r="W593" i="1" s="1"/>
  <c r="T593" i="1"/>
  <c r="U593" i="1"/>
  <c r="V593" i="1"/>
  <c r="G594" i="1"/>
  <c r="L594" i="1"/>
  <c r="R594" i="1" s="1"/>
  <c r="M594" i="1"/>
  <c r="N594" i="1"/>
  <c r="O594" i="1"/>
  <c r="P594" i="1"/>
  <c r="Q594" i="1"/>
  <c r="S594" i="1"/>
  <c r="U594" i="1" s="1"/>
  <c r="V594" i="1"/>
  <c r="W594" i="1"/>
  <c r="G595" i="1"/>
  <c r="N595" i="1" s="1"/>
  <c r="L595" i="1"/>
  <c r="M595" i="1"/>
  <c r="O595" i="1"/>
  <c r="P595" i="1"/>
  <c r="Q595" i="1"/>
  <c r="S595" i="1"/>
  <c r="T595" i="1" s="1"/>
  <c r="U595" i="1"/>
  <c r="V595" i="1"/>
  <c r="G596" i="1"/>
  <c r="L596" i="1"/>
  <c r="M596" i="1"/>
  <c r="N596" i="1"/>
  <c r="O596" i="1"/>
  <c r="P596" i="1"/>
  <c r="Q596" i="1"/>
  <c r="R596" i="1"/>
  <c r="S596" i="1"/>
  <c r="T596" i="1"/>
  <c r="W596" i="1"/>
  <c r="G597" i="1"/>
  <c r="N597" i="1" s="1"/>
  <c r="L597" i="1"/>
  <c r="R597" i="1" s="1"/>
  <c r="M597" i="1"/>
  <c r="O597" i="1"/>
  <c r="P597" i="1"/>
  <c r="Q597" i="1"/>
  <c r="S597" i="1"/>
  <c r="T597" i="1"/>
  <c r="U597" i="1"/>
  <c r="V597" i="1"/>
  <c r="W597" i="1"/>
  <c r="G598" i="1"/>
  <c r="L598" i="1"/>
  <c r="M598" i="1"/>
  <c r="N598" i="1"/>
  <c r="O598" i="1"/>
  <c r="P598" i="1"/>
  <c r="Q598" i="1"/>
  <c r="R598" i="1"/>
  <c r="S598" i="1"/>
  <c r="U598" i="1" s="1"/>
  <c r="T598" i="1"/>
  <c r="W598" i="1"/>
  <c r="G599" i="1"/>
  <c r="N599" i="1" s="1"/>
  <c r="L599" i="1"/>
  <c r="M599" i="1"/>
  <c r="R599" i="1" s="1"/>
  <c r="O599" i="1"/>
  <c r="P599" i="1"/>
  <c r="Q599" i="1"/>
  <c r="S599" i="1"/>
  <c r="T599" i="1" s="1"/>
  <c r="U599" i="1"/>
  <c r="V599" i="1"/>
  <c r="W599" i="1"/>
  <c r="G600" i="1"/>
  <c r="N600" i="1" s="1"/>
  <c r="R600" i="1" s="1"/>
  <c r="L600" i="1"/>
  <c r="M600" i="1"/>
  <c r="O600" i="1"/>
  <c r="P600" i="1"/>
  <c r="Q600" i="1"/>
  <c r="S600" i="1"/>
  <c r="T600" i="1" s="1"/>
  <c r="G601" i="1"/>
  <c r="L601" i="1"/>
  <c r="R601" i="1" s="1"/>
  <c r="M601" i="1"/>
  <c r="N601" i="1"/>
  <c r="O601" i="1"/>
  <c r="P601" i="1"/>
  <c r="Q601" i="1"/>
  <c r="S601" i="1"/>
  <c r="T601" i="1" s="1"/>
  <c r="U601" i="1"/>
  <c r="V601" i="1"/>
  <c r="W601" i="1"/>
  <c r="G602" i="1"/>
  <c r="N602" i="1" s="1"/>
  <c r="L602" i="1"/>
  <c r="M602" i="1"/>
  <c r="O602" i="1"/>
  <c r="P602" i="1"/>
  <c r="Q602" i="1"/>
  <c r="S602" i="1"/>
  <c r="W602" i="1" s="1"/>
  <c r="G603" i="1"/>
  <c r="L603" i="1"/>
  <c r="M603" i="1"/>
  <c r="R603" i="1" s="1"/>
  <c r="N603" i="1"/>
  <c r="O603" i="1"/>
  <c r="P603" i="1"/>
  <c r="Q603" i="1"/>
  <c r="S603" i="1"/>
  <c r="T603" i="1"/>
  <c r="U603" i="1"/>
  <c r="V603" i="1"/>
  <c r="W603" i="1"/>
  <c r="G604" i="1"/>
  <c r="N604" i="1" s="1"/>
  <c r="R604" i="1" s="1"/>
  <c r="L604" i="1"/>
  <c r="M604" i="1"/>
  <c r="O604" i="1"/>
  <c r="P604" i="1"/>
  <c r="Q604" i="1"/>
  <c r="S604" i="1"/>
  <c r="T604" i="1"/>
  <c r="U604" i="1"/>
  <c r="V604" i="1"/>
  <c r="W604" i="1"/>
  <c r="G605" i="1"/>
  <c r="N605" i="1" s="1"/>
  <c r="L605" i="1"/>
  <c r="R605" i="1" s="1"/>
  <c r="M605" i="1"/>
  <c r="O605" i="1"/>
  <c r="P605" i="1"/>
  <c r="Q605" i="1"/>
  <c r="S605" i="1"/>
  <c r="V605" i="1" s="1"/>
  <c r="T605" i="1"/>
  <c r="U605" i="1"/>
  <c r="W605" i="1"/>
  <c r="G606" i="1"/>
  <c r="L606" i="1"/>
  <c r="R606" i="1" s="1"/>
  <c r="M606" i="1"/>
  <c r="N606" i="1"/>
  <c r="O606" i="1"/>
  <c r="P606" i="1"/>
  <c r="Q606" i="1"/>
  <c r="S606" i="1"/>
  <c r="T606" i="1"/>
  <c r="U606" i="1"/>
  <c r="V606" i="1"/>
  <c r="W606" i="1"/>
  <c r="G607" i="1"/>
  <c r="N607" i="1" s="1"/>
  <c r="L607" i="1"/>
  <c r="M607" i="1"/>
  <c r="R607" i="1" s="1"/>
  <c r="O607" i="1"/>
  <c r="P607" i="1"/>
  <c r="Q607" i="1"/>
  <c r="S607" i="1"/>
  <c r="V607" i="1" s="1"/>
  <c r="T607" i="1"/>
  <c r="U607" i="1"/>
  <c r="G608" i="1"/>
  <c r="L608" i="1"/>
  <c r="M608" i="1"/>
  <c r="N608" i="1"/>
  <c r="O608" i="1"/>
  <c r="P608" i="1"/>
  <c r="Q608" i="1"/>
  <c r="S608" i="1"/>
  <c r="T608" i="1" s="1"/>
  <c r="G609" i="1"/>
  <c r="L609" i="1"/>
  <c r="M609" i="1"/>
  <c r="N609" i="1"/>
  <c r="O609" i="1"/>
  <c r="P609" i="1"/>
  <c r="Q609" i="1"/>
  <c r="S609" i="1"/>
  <c r="V609" i="1" s="1"/>
  <c r="T609" i="1"/>
  <c r="U609" i="1"/>
  <c r="W609" i="1"/>
  <c r="G610" i="1"/>
  <c r="L610" i="1"/>
  <c r="R610" i="1" s="1"/>
  <c r="M610" i="1"/>
  <c r="N610" i="1"/>
  <c r="O610" i="1"/>
  <c r="P610" i="1"/>
  <c r="Q610" i="1"/>
  <c r="S610" i="1"/>
  <c r="U610" i="1" s="1"/>
  <c r="G611" i="1"/>
  <c r="L611" i="1"/>
  <c r="M611" i="1"/>
  <c r="N611" i="1"/>
  <c r="O611" i="1"/>
  <c r="P611" i="1"/>
  <c r="Q611" i="1"/>
  <c r="S611" i="1"/>
  <c r="U611" i="1" s="1"/>
  <c r="T611" i="1"/>
  <c r="V611" i="1"/>
  <c r="W611" i="1"/>
  <c r="G612" i="1"/>
  <c r="L612" i="1"/>
  <c r="M612" i="1"/>
  <c r="N612" i="1"/>
  <c r="O612" i="1"/>
  <c r="P612" i="1"/>
  <c r="Q612" i="1"/>
  <c r="R612" i="1"/>
  <c r="S612" i="1"/>
  <c r="U612" i="1" s="1"/>
  <c r="T612" i="1"/>
  <c r="V612" i="1"/>
  <c r="W612" i="1"/>
  <c r="G613" i="1"/>
  <c r="N613" i="1" s="1"/>
  <c r="L613" i="1"/>
  <c r="R613" i="1" s="1"/>
  <c r="M613" i="1"/>
  <c r="O613" i="1"/>
  <c r="P613" i="1"/>
  <c r="Q613" i="1"/>
  <c r="S613" i="1"/>
  <c r="V613" i="1" s="1"/>
  <c r="U613" i="1"/>
  <c r="W613" i="1"/>
  <c r="G614" i="1"/>
  <c r="L614" i="1"/>
  <c r="R614" i="1" s="1"/>
  <c r="M614" i="1"/>
  <c r="N614" i="1"/>
  <c r="O614" i="1"/>
  <c r="P614" i="1"/>
  <c r="Q614" i="1"/>
  <c r="S614" i="1"/>
  <c r="U614" i="1" s="1"/>
  <c r="T614" i="1"/>
  <c r="G615" i="1"/>
  <c r="N615" i="1" s="1"/>
  <c r="L615" i="1"/>
  <c r="M615" i="1"/>
  <c r="R615" i="1" s="1"/>
  <c r="O615" i="1"/>
  <c r="P615" i="1"/>
  <c r="Q615" i="1"/>
  <c r="S615" i="1"/>
  <c r="T615" i="1" s="1"/>
  <c r="U615" i="1"/>
  <c r="W615" i="1"/>
  <c r="G616" i="1"/>
  <c r="N616" i="1" s="1"/>
  <c r="L616" i="1"/>
  <c r="R616" i="1" s="1"/>
  <c r="M616" i="1"/>
  <c r="O616" i="1"/>
  <c r="P616" i="1"/>
  <c r="Q616" i="1"/>
  <c r="S616" i="1"/>
  <c r="W616" i="1" s="1"/>
  <c r="T616" i="1"/>
  <c r="U616" i="1"/>
  <c r="V616" i="1"/>
  <c r="G617" i="1"/>
  <c r="L617" i="1"/>
  <c r="R617" i="1" s="1"/>
  <c r="M617" i="1"/>
  <c r="N617" i="1"/>
  <c r="O617" i="1"/>
  <c r="P617" i="1"/>
  <c r="Q617" i="1"/>
  <c r="S617" i="1"/>
  <c r="U617" i="1" s="1"/>
  <c r="W617" i="1"/>
  <c r="G618" i="1"/>
  <c r="L618" i="1"/>
  <c r="R618" i="1" s="1"/>
  <c r="M618" i="1"/>
  <c r="N618" i="1"/>
  <c r="O618" i="1"/>
  <c r="P618" i="1"/>
  <c r="Q618" i="1"/>
  <c r="S618" i="1"/>
  <c r="W618" i="1" s="1"/>
  <c r="T618" i="1"/>
  <c r="U618" i="1"/>
  <c r="G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G620" i="1"/>
  <c r="N620" i="1" s="1"/>
  <c r="L620" i="1"/>
  <c r="M620" i="1"/>
  <c r="O620" i="1"/>
  <c r="P620" i="1"/>
  <c r="Q620" i="1"/>
  <c r="S620" i="1"/>
  <c r="T620" i="1"/>
  <c r="U620" i="1"/>
  <c r="V620" i="1"/>
  <c r="W620" i="1"/>
  <c r="G621" i="1"/>
  <c r="L621" i="1"/>
  <c r="R621" i="1" s="1"/>
  <c r="M621" i="1"/>
  <c r="N621" i="1"/>
  <c r="O621" i="1"/>
  <c r="P621" i="1"/>
  <c r="Q621" i="1"/>
  <c r="S621" i="1"/>
  <c r="V621" i="1" s="1"/>
  <c r="T621" i="1"/>
  <c r="U621" i="1"/>
  <c r="W621" i="1"/>
  <c r="G622" i="1"/>
  <c r="N622" i="1" s="1"/>
  <c r="L622" i="1"/>
  <c r="R622" i="1" s="1"/>
  <c r="M622" i="1"/>
  <c r="O622" i="1"/>
  <c r="P622" i="1"/>
  <c r="Q622" i="1"/>
  <c r="S622" i="1"/>
  <c r="T622" i="1"/>
  <c r="U622" i="1"/>
  <c r="V622" i="1"/>
  <c r="W622" i="1"/>
  <c r="G623" i="1"/>
  <c r="L623" i="1"/>
  <c r="M623" i="1"/>
  <c r="R623" i="1" s="1"/>
  <c r="N623" i="1"/>
  <c r="O623" i="1"/>
  <c r="P623" i="1"/>
  <c r="Q623" i="1"/>
  <c r="S623" i="1"/>
  <c r="V623" i="1" s="1"/>
  <c r="W623" i="1"/>
  <c r="G624" i="1"/>
  <c r="N624" i="1" s="1"/>
  <c r="R624" i="1" s="1"/>
  <c r="L624" i="1"/>
  <c r="M624" i="1"/>
  <c r="O624" i="1"/>
  <c r="P624" i="1"/>
  <c r="Q624" i="1"/>
  <c r="S624" i="1"/>
  <c r="V624" i="1" s="1"/>
  <c r="T624" i="1"/>
  <c r="U624" i="1"/>
  <c r="G625" i="1"/>
  <c r="L625" i="1"/>
  <c r="M625" i="1"/>
  <c r="R625" i="1" s="1"/>
  <c r="N625" i="1"/>
  <c r="O625" i="1"/>
  <c r="P625" i="1"/>
  <c r="Q625" i="1"/>
  <c r="S625" i="1"/>
  <c r="T625" i="1"/>
  <c r="U625" i="1"/>
  <c r="V625" i="1"/>
  <c r="W625" i="1"/>
  <c r="G626" i="1"/>
  <c r="N626" i="1" s="1"/>
  <c r="R626" i="1" s="1"/>
  <c r="L626" i="1"/>
  <c r="M626" i="1"/>
  <c r="O626" i="1"/>
  <c r="P626" i="1"/>
  <c r="Q626" i="1"/>
  <c r="S626" i="1"/>
  <c r="W626" i="1" s="1"/>
  <c r="U626" i="1"/>
  <c r="G627" i="1"/>
  <c r="L627" i="1"/>
  <c r="M627" i="1"/>
  <c r="N627" i="1"/>
  <c r="O627" i="1"/>
  <c r="P627" i="1"/>
  <c r="Q627" i="1"/>
  <c r="S627" i="1"/>
  <c r="U627" i="1" s="1"/>
  <c r="T627" i="1"/>
  <c r="V627" i="1"/>
  <c r="W627" i="1"/>
  <c r="G628" i="1"/>
  <c r="L628" i="1"/>
  <c r="M628" i="1"/>
  <c r="N628" i="1"/>
  <c r="O628" i="1"/>
  <c r="P628" i="1"/>
  <c r="Q628" i="1"/>
  <c r="R628" i="1"/>
  <c r="S628" i="1"/>
  <c r="U628" i="1" s="1"/>
  <c r="T628" i="1"/>
  <c r="G629" i="1"/>
  <c r="L629" i="1"/>
  <c r="R629" i="1" s="1"/>
  <c r="M629" i="1"/>
  <c r="N629" i="1"/>
  <c r="O629" i="1"/>
  <c r="P629" i="1"/>
  <c r="Q629" i="1"/>
  <c r="S629" i="1"/>
  <c r="T629" i="1"/>
  <c r="U629" i="1"/>
  <c r="V629" i="1"/>
  <c r="W629" i="1"/>
  <c r="G630" i="1"/>
  <c r="L630" i="1"/>
  <c r="M630" i="1"/>
  <c r="N630" i="1"/>
  <c r="O630" i="1"/>
  <c r="P630" i="1"/>
  <c r="Q630" i="1"/>
  <c r="S630" i="1"/>
  <c r="T630" i="1" s="1"/>
  <c r="G631" i="1"/>
  <c r="L631" i="1"/>
  <c r="M631" i="1"/>
  <c r="R631" i="1" s="1"/>
  <c r="N631" i="1"/>
  <c r="O631" i="1"/>
  <c r="P631" i="1"/>
  <c r="Q631" i="1"/>
  <c r="S631" i="1"/>
  <c r="T631" i="1" s="1"/>
  <c r="G632" i="1"/>
  <c r="N632" i="1" s="1"/>
  <c r="L632" i="1"/>
  <c r="M632" i="1"/>
  <c r="O632" i="1"/>
  <c r="P632" i="1"/>
  <c r="Q632" i="1"/>
  <c r="S632" i="1"/>
  <c r="V632" i="1" s="1"/>
  <c r="T632" i="1"/>
  <c r="U632" i="1"/>
  <c r="G633" i="1"/>
  <c r="L633" i="1"/>
  <c r="R633" i="1" s="1"/>
  <c r="M633" i="1"/>
  <c r="N633" i="1"/>
  <c r="O633" i="1"/>
  <c r="P633" i="1"/>
  <c r="Q633" i="1"/>
  <c r="S633" i="1"/>
  <c r="T633" i="1"/>
  <c r="U633" i="1"/>
  <c r="V633" i="1"/>
  <c r="W633" i="1"/>
  <c r="G634" i="1"/>
  <c r="N634" i="1" s="1"/>
  <c r="R634" i="1" s="1"/>
  <c r="L634" i="1"/>
  <c r="M634" i="1"/>
  <c r="O634" i="1"/>
  <c r="P634" i="1"/>
  <c r="Q634" i="1"/>
  <c r="S634" i="1"/>
  <c r="T634" i="1" s="1"/>
  <c r="G635" i="1"/>
  <c r="L635" i="1"/>
  <c r="M635" i="1"/>
  <c r="N635" i="1"/>
  <c r="R635" i="1" s="1"/>
  <c r="O635" i="1"/>
  <c r="P635" i="1"/>
  <c r="Q635" i="1"/>
  <c r="S635" i="1"/>
  <c r="T635" i="1"/>
  <c r="U635" i="1"/>
  <c r="V635" i="1"/>
  <c r="W635" i="1"/>
  <c r="G636" i="1"/>
  <c r="L636" i="1"/>
  <c r="M636" i="1"/>
  <c r="N636" i="1"/>
  <c r="O636" i="1"/>
  <c r="P636" i="1"/>
  <c r="Q636" i="1"/>
  <c r="R636" i="1"/>
  <c r="S636" i="1"/>
  <c r="U636" i="1"/>
  <c r="W636" i="1"/>
  <c r="G637" i="1"/>
  <c r="L637" i="1"/>
  <c r="R637" i="1" s="1"/>
  <c r="M637" i="1"/>
  <c r="N637" i="1"/>
  <c r="O637" i="1"/>
  <c r="P637" i="1"/>
  <c r="Q637" i="1"/>
  <c r="S637" i="1"/>
  <c r="W637" i="1" s="1"/>
  <c r="T637" i="1"/>
  <c r="U637" i="1"/>
  <c r="V637" i="1"/>
  <c r="G638" i="1"/>
  <c r="N638" i="1" s="1"/>
  <c r="R638" i="1" s="1"/>
  <c r="L638" i="1"/>
  <c r="M638" i="1"/>
  <c r="O638" i="1"/>
  <c r="P638" i="1"/>
  <c r="Q638" i="1"/>
  <c r="S638" i="1"/>
  <c r="U638" i="1" s="1"/>
  <c r="T638" i="1"/>
  <c r="W638" i="1"/>
  <c r="G639" i="1"/>
  <c r="L639" i="1"/>
  <c r="R639" i="1" s="1"/>
  <c r="M639" i="1"/>
  <c r="N639" i="1"/>
  <c r="O639" i="1"/>
  <c r="P639" i="1"/>
  <c r="Q639" i="1"/>
  <c r="S639" i="1"/>
  <c r="V639" i="1" s="1"/>
  <c r="T639" i="1"/>
  <c r="U639" i="1"/>
  <c r="G640" i="1"/>
  <c r="L640" i="1"/>
  <c r="M640" i="1"/>
  <c r="N640" i="1"/>
  <c r="O640" i="1"/>
  <c r="P640" i="1"/>
  <c r="Q640" i="1"/>
  <c r="S640" i="1"/>
  <c r="T640" i="1"/>
  <c r="U640" i="1"/>
  <c r="V640" i="1"/>
  <c r="W640" i="1"/>
  <c r="G641" i="1"/>
  <c r="N641" i="1" s="1"/>
  <c r="L641" i="1"/>
  <c r="M641" i="1"/>
  <c r="O641" i="1"/>
  <c r="P641" i="1"/>
  <c r="Q641" i="1"/>
  <c r="S641" i="1"/>
  <c r="T641" i="1"/>
  <c r="U641" i="1"/>
  <c r="V641" i="1"/>
  <c r="W641" i="1"/>
  <c r="G642" i="1"/>
  <c r="L642" i="1"/>
  <c r="R642" i="1" s="1"/>
  <c r="M642" i="1"/>
  <c r="N642" i="1"/>
  <c r="O642" i="1"/>
  <c r="P642" i="1"/>
  <c r="Q642" i="1"/>
  <c r="S642" i="1"/>
  <c r="V642" i="1" s="1"/>
  <c r="T642" i="1"/>
  <c r="U642" i="1"/>
  <c r="W642" i="1"/>
  <c r="G643" i="1"/>
  <c r="L643" i="1"/>
  <c r="R643" i="1" s="1"/>
  <c r="M643" i="1"/>
  <c r="N643" i="1"/>
  <c r="O643" i="1"/>
  <c r="P643" i="1"/>
  <c r="Q643" i="1"/>
  <c r="S643" i="1"/>
  <c r="T643" i="1" s="1"/>
  <c r="G644" i="1"/>
  <c r="N644" i="1" s="1"/>
  <c r="L644" i="1"/>
  <c r="M644" i="1"/>
  <c r="R644" i="1" s="1"/>
  <c r="O644" i="1"/>
  <c r="P644" i="1"/>
  <c r="Q644" i="1"/>
  <c r="S644" i="1"/>
  <c r="T644" i="1" s="1"/>
  <c r="V644" i="1"/>
  <c r="W644" i="1"/>
  <c r="G645" i="1"/>
  <c r="N645" i="1" s="1"/>
  <c r="R645" i="1" s="1"/>
  <c r="L645" i="1"/>
  <c r="M645" i="1"/>
  <c r="O645" i="1"/>
  <c r="P645" i="1"/>
  <c r="Q645" i="1"/>
  <c r="S645" i="1"/>
  <c r="T645" i="1" s="1"/>
  <c r="G646" i="1"/>
  <c r="N646" i="1" s="1"/>
  <c r="L646" i="1"/>
  <c r="M646" i="1"/>
  <c r="O646" i="1"/>
  <c r="P646" i="1"/>
  <c r="Q646" i="1"/>
  <c r="S646" i="1"/>
  <c r="T646" i="1" s="1"/>
  <c r="U646" i="1"/>
  <c r="V646" i="1"/>
  <c r="W646" i="1"/>
  <c r="G647" i="1"/>
  <c r="N647" i="1" s="1"/>
  <c r="R647" i="1" s="1"/>
  <c r="L647" i="1"/>
  <c r="M647" i="1"/>
  <c r="O647" i="1"/>
  <c r="P647" i="1"/>
  <c r="Q647" i="1"/>
  <c r="S647" i="1"/>
  <c r="V647" i="1" s="1"/>
  <c r="T647" i="1"/>
  <c r="G648" i="1"/>
  <c r="L648" i="1"/>
  <c r="M648" i="1"/>
  <c r="R648" i="1" s="1"/>
  <c r="N648" i="1"/>
  <c r="O648" i="1"/>
  <c r="P648" i="1"/>
  <c r="Q648" i="1"/>
  <c r="S648" i="1"/>
  <c r="T648" i="1" s="1"/>
  <c r="V648" i="1"/>
  <c r="W648" i="1"/>
  <c r="G649" i="1"/>
  <c r="L649" i="1"/>
  <c r="M649" i="1"/>
  <c r="N649" i="1"/>
  <c r="O649" i="1"/>
  <c r="P649" i="1"/>
  <c r="Q649" i="1"/>
  <c r="R649" i="1"/>
  <c r="S649" i="1"/>
  <c r="T649" i="1" s="1"/>
  <c r="G650" i="1"/>
  <c r="N650" i="1" s="1"/>
  <c r="L650" i="1"/>
  <c r="R650" i="1" s="1"/>
  <c r="M650" i="1"/>
  <c r="O650" i="1"/>
  <c r="P650" i="1"/>
  <c r="Q650" i="1"/>
  <c r="S650" i="1"/>
  <c r="T650" i="1"/>
  <c r="U650" i="1"/>
  <c r="V650" i="1"/>
  <c r="W650" i="1"/>
  <c r="G651" i="1"/>
  <c r="L651" i="1"/>
  <c r="R651" i="1" s="1"/>
  <c r="M651" i="1"/>
  <c r="N651" i="1"/>
  <c r="O651" i="1"/>
  <c r="P651" i="1"/>
  <c r="Q651" i="1"/>
  <c r="S651" i="1"/>
  <c r="T651" i="1"/>
  <c r="U651" i="1"/>
  <c r="V651" i="1"/>
  <c r="W651" i="1"/>
  <c r="G652" i="1"/>
  <c r="N652" i="1" s="1"/>
  <c r="L652" i="1"/>
  <c r="M652" i="1"/>
  <c r="O652" i="1"/>
  <c r="P652" i="1"/>
  <c r="Q652" i="1"/>
  <c r="S652" i="1"/>
  <c r="U652" i="1"/>
  <c r="G653" i="1"/>
  <c r="L653" i="1"/>
  <c r="M653" i="1"/>
  <c r="N653" i="1"/>
  <c r="O653" i="1"/>
  <c r="P653" i="1"/>
  <c r="Q653" i="1"/>
  <c r="R653" i="1"/>
  <c r="S653" i="1"/>
  <c r="W653" i="1" s="1"/>
  <c r="T653" i="1"/>
  <c r="U653" i="1"/>
  <c r="V653" i="1"/>
  <c r="G654" i="1"/>
  <c r="N654" i="1" s="1"/>
  <c r="L654" i="1"/>
  <c r="R654" i="1" s="1"/>
  <c r="M654" i="1"/>
  <c r="O654" i="1"/>
  <c r="P654" i="1"/>
  <c r="Q654" i="1"/>
  <c r="S654" i="1"/>
  <c r="W654" i="1" s="1"/>
  <c r="T654" i="1"/>
  <c r="U654" i="1"/>
  <c r="V654" i="1"/>
  <c r="G655" i="1"/>
  <c r="L655" i="1"/>
  <c r="R655" i="1" s="1"/>
  <c r="M655" i="1"/>
  <c r="N655" i="1"/>
  <c r="O655" i="1"/>
  <c r="P655" i="1"/>
  <c r="Q655" i="1"/>
  <c r="S655" i="1"/>
  <c r="T655" i="1" s="1"/>
  <c r="U655" i="1"/>
  <c r="V655" i="1"/>
  <c r="W655" i="1"/>
  <c r="G656" i="1"/>
  <c r="N656" i="1" s="1"/>
  <c r="L656" i="1"/>
  <c r="M656" i="1"/>
  <c r="O656" i="1"/>
  <c r="P656" i="1"/>
  <c r="Q656" i="1"/>
  <c r="S656" i="1"/>
  <c r="T656" i="1" s="1"/>
  <c r="G657" i="1"/>
  <c r="L657" i="1"/>
  <c r="M657" i="1"/>
  <c r="N657" i="1"/>
  <c r="R657" i="1" s="1"/>
  <c r="O657" i="1"/>
  <c r="P657" i="1"/>
  <c r="Q657" i="1"/>
  <c r="S657" i="1"/>
  <c r="T657" i="1"/>
  <c r="U657" i="1"/>
  <c r="V657" i="1"/>
  <c r="W657" i="1"/>
  <c r="G658" i="1"/>
  <c r="L658" i="1"/>
  <c r="M658" i="1"/>
  <c r="N658" i="1"/>
  <c r="O658" i="1"/>
  <c r="P658" i="1"/>
  <c r="Q658" i="1"/>
  <c r="R658" i="1"/>
  <c r="S658" i="1"/>
  <c r="V658" i="1" s="1"/>
  <c r="T658" i="1"/>
  <c r="U658" i="1"/>
  <c r="W658" i="1"/>
  <c r="G659" i="1"/>
  <c r="N659" i="1" s="1"/>
  <c r="L659" i="1"/>
  <c r="R659" i="1" s="1"/>
  <c r="M659" i="1"/>
  <c r="O659" i="1"/>
  <c r="P659" i="1"/>
  <c r="Q659" i="1"/>
  <c r="S659" i="1"/>
  <c r="W659" i="1" s="1"/>
  <c r="T659" i="1"/>
  <c r="U659" i="1"/>
  <c r="V659" i="1"/>
  <c r="G660" i="1"/>
  <c r="L660" i="1"/>
  <c r="M660" i="1"/>
  <c r="R660" i="1" s="1"/>
  <c r="N660" i="1"/>
  <c r="O660" i="1"/>
  <c r="P660" i="1"/>
  <c r="Q660" i="1"/>
  <c r="S660" i="1"/>
  <c r="T660" i="1" s="1"/>
  <c r="U660" i="1"/>
  <c r="V660" i="1"/>
  <c r="W660" i="1"/>
  <c r="G661" i="1"/>
  <c r="N661" i="1" s="1"/>
  <c r="L661" i="1"/>
  <c r="M661" i="1"/>
  <c r="O661" i="1"/>
  <c r="P661" i="1"/>
  <c r="Q661" i="1"/>
  <c r="S661" i="1"/>
  <c r="T661" i="1" s="1"/>
  <c r="G662" i="1"/>
  <c r="L662" i="1"/>
  <c r="M662" i="1"/>
  <c r="N662" i="1"/>
  <c r="O662" i="1"/>
  <c r="P662" i="1"/>
  <c r="Q662" i="1"/>
  <c r="S662" i="1"/>
  <c r="T662" i="1" s="1"/>
  <c r="V662" i="1"/>
  <c r="W662" i="1"/>
  <c r="G663" i="1"/>
  <c r="N663" i="1" s="1"/>
  <c r="R663" i="1" s="1"/>
  <c r="L663" i="1"/>
  <c r="M663" i="1"/>
  <c r="O663" i="1"/>
  <c r="P663" i="1"/>
  <c r="Q663" i="1"/>
  <c r="S663" i="1"/>
  <c r="T663" i="1" s="1"/>
  <c r="G664" i="1"/>
  <c r="N664" i="1" s="1"/>
  <c r="L664" i="1"/>
  <c r="R664" i="1" s="1"/>
  <c r="M664" i="1"/>
  <c r="O664" i="1"/>
  <c r="P664" i="1"/>
  <c r="Q664" i="1"/>
  <c r="S664" i="1"/>
  <c r="W664" i="1" s="1"/>
  <c r="T664" i="1"/>
  <c r="U664" i="1"/>
  <c r="V664" i="1"/>
  <c r="G665" i="1"/>
  <c r="L665" i="1"/>
  <c r="R665" i="1" s="1"/>
  <c r="M665" i="1"/>
  <c r="N665" i="1"/>
  <c r="O665" i="1"/>
  <c r="P665" i="1"/>
  <c r="Q665" i="1"/>
  <c r="S665" i="1"/>
  <c r="T665" i="1" s="1"/>
  <c r="U665" i="1"/>
  <c r="V665" i="1"/>
  <c r="W665" i="1"/>
  <c r="G666" i="1"/>
  <c r="N666" i="1" s="1"/>
  <c r="L666" i="1"/>
  <c r="R666" i="1" s="1"/>
  <c r="M666" i="1"/>
  <c r="O666" i="1"/>
  <c r="P666" i="1"/>
  <c r="Q666" i="1"/>
  <c r="S666" i="1"/>
  <c r="T666" i="1" s="1"/>
  <c r="G667" i="1"/>
  <c r="L667" i="1"/>
  <c r="M667" i="1"/>
  <c r="N667" i="1"/>
  <c r="R667" i="1" s="1"/>
  <c r="O667" i="1"/>
  <c r="P667" i="1"/>
  <c r="Q667" i="1"/>
  <c r="S667" i="1"/>
  <c r="W667" i="1" s="1"/>
  <c r="T667" i="1"/>
  <c r="U667" i="1"/>
  <c r="V667" i="1"/>
  <c r="G668" i="1"/>
  <c r="N668" i="1" s="1"/>
  <c r="R668" i="1" s="1"/>
  <c r="L668" i="1"/>
  <c r="M668" i="1"/>
  <c r="O668" i="1"/>
  <c r="P668" i="1"/>
  <c r="Q668" i="1"/>
  <c r="S668" i="1"/>
  <c r="T668" i="1"/>
  <c r="U668" i="1"/>
  <c r="V668" i="1"/>
  <c r="W668" i="1"/>
  <c r="G669" i="1"/>
  <c r="N669" i="1" s="1"/>
  <c r="L669" i="1"/>
  <c r="R669" i="1" s="1"/>
  <c r="M669" i="1"/>
  <c r="O669" i="1"/>
  <c r="P669" i="1"/>
  <c r="Q669" i="1"/>
  <c r="S669" i="1"/>
  <c r="V669" i="1" s="1"/>
  <c r="T669" i="1"/>
  <c r="U669" i="1"/>
  <c r="G670" i="1"/>
  <c r="L670" i="1"/>
  <c r="R670" i="1" s="1"/>
  <c r="M670" i="1"/>
  <c r="N670" i="1"/>
  <c r="O670" i="1"/>
  <c r="P670" i="1"/>
  <c r="Q670" i="1"/>
  <c r="S670" i="1"/>
  <c r="T670" i="1"/>
  <c r="U670" i="1"/>
  <c r="V670" i="1"/>
  <c r="W670" i="1"/>
  <c r="G671" i="1"/>
  <c r="N671" i="1" s="1"/>
  <c r="R671" i="1" s="1"/>
  <c r="L671" i="1"/>
  <c r="M671" i="1"/>
  <c r="O671" i="1"/>
  <c r="P671" i="1"/>
  <c r="Q671" i="1"/>
  <c r="S671" i="1"/>
  <c r="V671" i="1" s="1"/>
  <c r="T671" i="1"/>
  <c r="U671" i="1"/>
  <c r="W671" i="1"/>
  <c r="G672" i="1"/>
  <c r="L672" i="1"/>
  <c r="R672" i="1" s="1"/>
  <c r="M672" i="1"/>
  <c r="N672" i="1"/>
  <c r="O672" i="1"/>
  <c r="P672" i="1"/>
  <c r="Q672" i="1"/>
  <c r="S672" i="1"/>
  <c r="V672" i="1" s="1"/>
  <c r="T672" i="1"/>
  <c r="U672" i="1"/>
  <c r="G673" i="1"/>
  <c r="L673" i="1"/>
  <c r="M673" i="1"/>
  <c r="R673" i="1" s="1"/>
  <c r="N673" i="1"/>
  <c r="O673" i="1"/>
  <c r="P673" i="1"/>
  <c r="Q673" i="1"/>
  <c r="S673" i="1"/>
  <c r="U673" i="1" s="1"/>
  <c r="T673" i="1"/>
  <c r="V673" i="1"/>
  <c r="W673" i="1"/>
  <c r="G674" i="1"/>
  <c r="N674" i="1" s="1"/>
  <c r="R674" i="1" s="1"/>
  <c r="L674" i="1"/>
  <c r="M674" i="1"/>
  <c r="O674" i="1"/>
  <c r="P674" i="1"/>
  <c r="Q674" i="1"/>
  <c r="S674" i="1"/>
  <c r="U674" i="1" s="1"/>
  <c r="T674" i="1"/>
  <c r="G675" i="1"/>
  <c r="L675" i="1"/>
  <c r="R675" i="1" s="1"/>
  <c r="M675" i="1"/>
  <c r="N675" i="1"/>
  <c r="O675" i="1"/>
  <c r="P675" i="1"/>
  <c r="Q675" i="1"/>
  <c r="S675" i="1"/>
  <c r="T675" i="1"/>
  <c r="U675" i="1"/>
  <c r="V675" i="1"/>
  <c r="W675" i="1"/>
  <c r="G676" i="1"/>
  <c r="L676" i="1"/>
  <c r="R676" i="1" s="1"/>
  <c r="M676" i="1"/>
  <c r="N676" i="1"/>
  <c r="O676" i="1"/>
  <c r="P676" i="1"/>
  <c r="Q676" i="1"/>
  <c r="S676" i="1"/>
  <c r="T676" i="1" s="1"/>
  <c r="W676" i="1"/>
  <c r="G677" i="1"/>
  <c r="N677" i="1" s="1"/>
  <c r="L677" i="1"/>
  <c r="R677" i="1" s="1"/>
  <c r="M677" i="1"/>
  <c r="O677" i="1"/>
  <c r="P677" i="1"/>
  <c r="Q677" i="1"/>
  <c r="S677" i="1"/>
  <c r="U677" i="1" s="1"/>
  <c r="T677" i="1"/>
  <c r="G678" i="1"/>
  <c r="L678" i="1"/>
  <c r="M678" i="1"/>
  <c r="R678" i="1" s="1"/>
  <c r="N678" i="1"/>
  <c r="O678" i="1"/>
  <c r="P678" i="1"/>
  <c r="Q678" i="1"/>
  <c r="S678" i="1"/>
  <c r="T678" i="1" s="1"/>
  <c r="V678" i="1"/>
  <c r="W678" i="1"/>
  <c r="G679" i="1"/>
  <c r="N679" i="1" s="1"/>
  <c r="R679" i="1" s="1"/>
  <c r="L679" i="1"/>
  <c r="M679" i="1"/>
  <c r="O679" i="1"/>
  <c r="P679" i="1"/>
  <c r="Q679" i="1"/>
  <c r="S679" i="1"/>
  <c r="T679" i="1" s="1"/>
  <c r="G680" i="1"/>
  <c r="N680" i="1" s="1"/>
  <c r="L680" i="1"/>
  <c r="R680" i="1" s="1"/>
  <c r="M680" i="1"/>
  <c r="O680" i="1"/>
  <c r="P680" i="1"/>
  <c r="Q680" i="1"/>
  <c r="S680" i="1"/>
  <c r="W680" i="1" s="1"/>
  <c r="T680" i="1"/>
  <c r="U680" i="1"/>
  <c r="V680" i="1"/>
  <c r="G681" i="1"/>
  <c r="L681" i="1"/>
  <c r="R681" i="1" s="1"/>
  <c r="M681" i="1"/>
  <c r="N681" i="1"/>
  <c r="O681" i="1"/>
  <c r="P681" i="1"/>
  <c r="Q681" i="1"/>
  <c r="S681" i="1"/>
  <c r="T681" i="1" s="1"/>
  <c r="U681" i="1"/>
  <c r="V681" i="1"/>
  <c r="W681" i="1"/>
  <c r="G682" i="1"/>
  <c r="N682" i="1" s="1"/>
  <c r="L682" i="1"/>
  <c r="M682" i="1"/>
  <c r="O682" i="1"/>
  <c r="P682" i="1"/>
  <c r="Q682" i="1"/>
  <c r="S682" i="1"/>
  <c r="T682" i="1" s="1"/>
  <c r="G683" i="1"/>
  <c r="L683" i="1"/>
  <c r="M683" i="1"/>
  <c r="N683" i="1"/>
  <c r="R683" i="1" s="1"/>
  <c r="O683" i="1"/>
  <c r="P683" i="1"/>
  <c r="Q683" i="1"/>
  <c r="S683" i="1"/>
  <c r="W683" i="1" s="1"/>
  <c r="T683" i="1"/>
  <c r="U683" i="1"/>
  <c r="V683" i="1"/>
  <c r="G684" i="1"/>
  <c r="N684" i="1" s="1"/>
  <c r="R684" i="1" s="1"/>
  <c r="L684" i="1"/>
  <c r="M684" i="1"/>
  <c r="O684" i="1"/>
  <c r="P684" i="1"/>
  <c r="Q684" i="1"/>
  <c r="S684" i="1"/>
  <c r="T684" i="1"/>
  <c r="U684" i="1"/>
  <c r="V684" i="1"/>
  <c r="W684" i="1"/>
  <c r="G685" i="1"/>
  <c r="N685" i="1" s="1"/>
  <c r="L685" i="1"/>
  <c r="R685" i="1" s="1"/>
  <c r="M685" i="1"/>
  <c r="O685" i="1"/>
  <c r="P685" i="1"/>
  <c r="Q685" i="1"/>
  <c r="S685" i="1"/>
  <c r="V685" i="1" s="1"/>
  <c r="T685" i="1"/>
  <c r="U685" i="1"/>
  <c r="G686" i="1"/>
  <c r="L686" i="1"/>
  <c r="R686" i="1" s="1"/>
  <c r="M686" i="1"/>
  <c r="N686" i="1"/>
  <c r="O686" i="1"/>
  <c r="P686" i="1"/>
  <c r="Q686" i="1"/>
  <c r="S686" i="1"/>
  <c r="T686" i="1"/>
  <c r="U686" i="1"/>
  <c r="V686" i="1"/>
  <c r="W686" i="1"/>
  <c r="G687" i="1"/>
  <c r="N687" i="1" s="1"/>
  <c r="R687" i="1" s="1"/>
  <c r="L687" i="1"/>
  <c r="M687" i="1"/>
  <c r="O687" i="1"/>
  <c r="P687" i="1"/>
  <c r="Q687" i="1"/>
  <c r="S687" i="1"/>
  <c r="U687" i="1" s="1"/>
  <c r="T687" i="1"/>
  <c r="W687" i="1"/>
  <c r="G688" i="1"/>
  <c r="L688" i="1"/>
  <c r="R688" i="1" s="1"/>
  <c r="M688" i="1"/>
  <c r="N688" i="1"/>
  <c r="O688" i="1"/>
  <c r="P688" i="1"/>
  <c r="Q688" i="1"/>
  <c r="S688" i="1"/>
  <c r="V688" i="1" s="1"/>
  <c r="T688" i="1"/>
  <c r="U688" i="1"/>
  <c r="G689" i="1"/>
  <c r="L689" i="1"/>
  <c r="M689" i="1"/>
  <c r="R689" i="1" s="1"/>
  <c r="N689" i="1"/>
  <c r="O689" i="1"/>
  <c r="P689" i="1"/>
  <c r="Q689" i="1"/>
  <c r="S689" i="1"/>
  <c r="U689" i="1" s="1"/>
  <c r="T689" i="1"/>
  <c r="V689" i="1"/>
  <c r="W689" i="1"/>
  <c r="G690" i="1"/>
  <c r="N690" i="1" s="1"/>
  <c r="R690" i="1" s="1"/>
  <c r="L690" i="1"/>
  <c r="M690" i="1"/>
  <c r="O690" i="1"/>
  <c r="P690" i="1"/>
  <c r="Q690" i="1"/>
  <c r="S690" i="1"/>
  <c r="U690" i="1" s="1"/>
  <c r="T690" i="1"/>
  <c r="G691" i="1"/>
  <c r="L691" i="1"/>
  <c r="R691" i="1" s="1"/>
  <c r="M691" i="1"/>
  <c r="N691" i="1"/>
  <c r="O691" i="1"/>
  <c r="P691" i="1"/>
  <c r="Q691" i="1"/>
  <c r="S691" i="1"/>
  <c r="T691" i="1"/>
  <c r="U691" i="1"/>
  <c r="V691" i="1"/>
  <c r="W691" i="1"/>
  <c r="G692" i="1"/>
  <c r="L692" i="1"/>
  <c r="R692" i="1" s="1"/>
  <c r="M692" i="1"/>
  <c r="N692" i="1"/>
  <c r="O692" i="1"/>
  <c r="P692" i="1"/>
  <c r="Q692" i="1"/>
  <c r="S692" i="1"/>
  <c r="T692" i="1" s="1"/>
  <c r="W692" i="1"/>
  <c r="G693" i="1"/>
  <c r="N693" i="1" s="1"/>
  <c r="L693" i="1"/>
  <c r="R693" i="1" s="1"/>
  <c r="M693" i="1"/>
  <c r="O693" i="1"/>
  <c r="P693" i="1"/>
  <c r="Q693" i="1"/>
  <c r="S693" i="1"/>
  <c r="U693" i="1" s="1"/>
  <c r="T693" i="1"/>
  <c r="G694" i="1"/>
  <c r="L694" i="1"/>
  <c r="M694" i="1"/>
  <c r="R694" i="1" s="1"/>
  <c r="N694" i="1"/>
  <c r="O694" i="1"/>
  <c r="P694" i="1"/>
  <c r="Q694" i="1"/>
  <c r="S694" i="1"/>
  <c r="T694" i="1" s="1"/>
  <c r="V694" i="1"/>
  <c r="W694" i="1"/>
  <c r="R656" i="1" l="1"/>
  <c r="R632" i="1"/>
  <c r="R682" i="1"/>
  <c r="R641" i="1"/>
  <c r="R652" i="1"/>
  <c r="R570" i="1"/>
  <c r="R578" i="1"/>
  <c r="R661" i="1"/>
  <c r="R602" i="1"/>
  <c r="R552" i="1"/>
  <c r="T487" i="1"/>
  <c r="U487" i="1"/>
  <c r="V487" i="1"/>
  <c r="T436" i="1"/>
  <c r="V436" i="1"/>
  <c r="W436" i="1"/>
  <c r="T652" i="1"/>
  <c r="V652" i="1"/>
  <c r="R646" i="1"/>
  <c r="R549" i="1"/>
  <c r="R472" i="1"/>
  <c r="V459" i="1"/>
  <c r="T459" i="1"/>
  <c r="U459" i="1"/>
  <c r="W459" i="1"/>
  <c r="R411" i="1"/>
  <c r="R406" i="1"/>
  <c r="U339" i="1"/>
  <c r="T339" i="1"/>
  <c r="V339" i="1"/>
  <c r="W339" i="1"/>
  <c r="U694" i="1"/>
  <c r="U678" i="1"/>
  <c r="U662" i="1"/>
  <c r="U648" i="1"/>
  <c r="U644" i="1"/>
  <c r="V631" i="1"/>
  <c r="U623" i="1"/>
  <c r="U584" i="1"/>
  <c r="W554" i="1"/>
  <c r="U554" i="1"/>
  <c r="V544" i="1"/>
  <c r="U528" i="1"/>
  <c r="T506" i="1"/>
  <c r="V506" i="1"/>
  <c r="W506" i="1"/>
  <c r="R478" i="1"/>
  <c r="W456" i="1"/>
  <c r="U456" i="1"/>
  <c r="V454" i="1"/>
  <c r="R453" i="1"/>
  <c r="V395" i="1"/>
  <c r="W395" i="1"/>
  <c r="U395" i="1"/>
  <c r="T395" i="1"/>
  <c r="V392" i="1"/>
  <c r="T389" i="1"/>
  <c r="V389" i="1"/>
  <c r="R338" i="1"/>
  <c r="R308" i="1"/>
  <c r="V265" i="1"/>
  <c r="W265" i="1"/>
  <c r="U265" i="1"/>
  <c r="V263" i="1"/>
  <c r="U263" i="1"/>
  <c r="W263" i="1"/>
  <c r="W679" i="1"/>
  <c r="W663" i="1"/>
  <c r="W649" i="1"/>
  <c r="W645" i="1"/>
  <c r="T623" i="1"/>
  <c r="V615" i="1"/>
  <c r="U592" i="1"/>
  <c r="T584" i="1"/>
  <c r="W577" i="1"/>
  <c r="U562" i="1"/>
  <c r="V562" i="1"/>
  <c r="W555" i="1"/>
  <c r="V551" i="1"/>
  <c r="U544" i="1"/>
  <c r="R530" i="1"/>
  <c r="T528" i="1"/>
  <c r="R526" i="1"/>
  <c r="R438" i="1"/>
  <c r="U369" i="1"/>
  <c r="W369" i="1"/>
  <c r="R343" i="1"/>
  <c r="U304" i="1"/>
  <c r="W304" i="1"/>
  <c r="V304" i="1"/>
  <c r="T275" i="1"/>
  <c r="V275" i="1"/>
  <c r="W275" i="1"/>
  <c r="R274" i="1"/>
  <c r="R620" i="1"/>
  <c r="V445" i="1"/>
  <c r="W445" i="1"/>
  <c r="T445" i="1"/>
  <c r="R609" i="1"/>
  <c r="R556" i="1"/>
  <c r="U533" i="1"/>
  <c r="W533" i="1"/>
  <c r="T533" i="1"/>
  <c r="V533" i="1"/>
  <c r="V512" i="1"/>
  <c r="U512" i="1"/>
  <c r="W512" i="1"/>
  <c r="W690" i="1"/>
  <c r="V679" i="1"/>
  <c r="W674" i="1"/>
  <c r="V663" i="1"/>
  <c r="V649" i="1"/>
  <c r="V645" i="1"/>
  <c r="U631" i="1"/>
  <c r="W631" i="1"/>
  <c r="W608" i="1"/>
  <c r="W581" i="1"/>
  <c r="V577" i="1"/>
  <c r="W573" i="1"/>
  <c r="V555" i="1"/>
  <c r="V488" i="1"/>
  <c r="R484" i="1"/>
  <c r="W471" i="1"/>
  <c r="U454" i="1"/>
  <c r="W454" i="1"/>
  <c r="U400" i="1"/>
  <c r="V400" i="1"/>
  <c r="T400" i="1"/>
  <c r="W400" i="1"/>
  <c r="R394" i="1"/>
  <c r="W392" i="1"/>
  <c r="T392" i="1"/>
  <c r="U367" i="1"/>
  <c r="V367" i="1"/>
  <c r="W367" i="1"/>
  <c r="R366" i="1"/>
  <c r="T37" i="1"/>
  <c r="W37" i="1"/>
  <c r="V37" i="1"/>
  <c r="U37" i="1"/>
  <c r="W5" i="1"/>
  <c r="V5" i="1"/>
  <c r="T5" i="1"/>
  <c r="U5" i="1"/>
  <c r="V690" i="1"/>
  <c r="W685" i="1"/>
  <c r="U679" i="1"/>
  <c r="V674" i="1"/>
  <c r="W669" i="1"/>
  <c r="U663" i="1"/>
  <c r="U649" i="1"/>
  <c r="U645" i="1"/>
  <c r="W632" i="1"/>
  <c r="W628" i="1"/>
  <c r="W624" i="1"/>
  <c r="V608" i="1"/>
  <c r="V600" i="1"/>
  <c r="R591" i="1"/>
  <c r="W589" i="1"/>
  <c r="W585" i="1"/>
  <c r="V581" i="1"/>
  <c r="R579" i="1"/>
  <c r="U577" i="1"/>
  <c r="U573" i="1"/>
  <c r="V566" i="1"/>
  <c r="V559" i="1"/>
  <c r="W559" i="1"/>
  <c r="U555" i="1"/>
  <c r="W534" i="1"/>
  <c r="V513" i="1"/>
  <c r="U488" i="1"/>
  <c r="U485" i="1"/>
  <c r="W485" i="1"/>
  <c r="V471" i="1"/>
  <c r="R445" i="1"/>
  <c r="V437" i="1"/>
  <c r="R417" i="1"/>
  <c r="W344" i="1"/>
  <c r="U344" i="1"/>
  <c r="V344" i="1"/>
  <c r="R323" i="1"/>
  <c r="W319" i="1"/>
  <c r="T319" i="1"/>
  <c r="R306" i="1"/>
  <c r="W288" i="1"/>
  <c r="T288" i="1"/>
  <c r="V288" i="1"/>
  <c r="R4" i="1"/>
  <c r="T636" i="1"/>
  <c r="V636" i="1"/>
  <c r="R630" i="1"/>
  <c r="V628" i="1"/>
  <c r="U608" i="1"/>
  <c r="U596" i="1"/>
  <c r="V596" i="1"/>
  <c r="U589" i="1"/>
  <c r="V585" i="1"/>
  <c r="T573" i="1"/>
  <c r="W563" i="1"/>
  <c r="W545" i="1"/>
  <c r="U534" i="1"/>
  <c r="W529" i="1"/>
  <c r="U513" i="1"/>
  <c r="T488" i="1"/>
  <c r="R482" i="1"/>
  <c r="R479" i="1"/>
  <c r="V477" i="1"/>
  <c r="W477" i="1"/>
  <c r="U471" i="1"/>
  <c r="R456" i="1"/>
  <c r="R451" i="1"/>
  <c r="R425" i="1"/>
  <c r="U372" i="1"/>
  <c r="V372" i="1"/>
  <c r="T355" i="1"/>
  <c r="U355" i="1"/>
  <c r="V355" i="1"/>
  <c r="W355" i="1"/>
  <c r="T309" i="1"/>
  <c r="U309" i="1"/>
  <c r="V309" i="1"/>
  <c r="T63" i="1"/>
  <c r="W63" i="1"/>
  <c r="U63" i="1"/>
  <c r="V63" i="1"/>
  <c r="T47" i="1"/>
  <c r="U47" i="1"/>
  <c r="V47" i="1"/>
  <c r="W47" i="1"/>
  <c r="U587" i="1"/>
  <c r="W587" i="1"/>
  <c r="R544" i="1"/>
  <c r="R352" i="1"/>
  <c r="R494" i="1"/>
  <c r="R429" i="1"/>
  <c r="R382" i="1"/>
  <c r="R360" i="1"/>
  <c r="U353" i="1"/>
  <c r="W353" i="1"/>
  <c r="V77" i="1"/>
  <c r="W77" i="1"/>
  <c r="U77" i="1"/>
  <c r="T77" i="1"/>
  <c r="V509" i="1"/>
  <c r="W509" i="1"/>
  <c r="T474" i="1"/>
  <c r="V474" i="1"/>
  <c r="W474" i="1"/>
  <c r="T416" i="1"/>
  <c r="U416" i="1"/>
  <c r="V416" i="1"/>
  <c r="W416" i="1"/>
  <c r="R439" i="1"/>
  <c r="T430" i="1"/>
  <c r="U430" i="1"/>
  <c r="V430" i="1"/>
  <c r="W430" i="1"/>
  <c r="R346" i="1"/>
  <c r="R114" i="1"/>
  <c r="R611" i="1"/>
  <c r="T532" i="1"/>
  <c r="U532" i="1"/>
  <c r="R518" i="1"/>
  <c r="U692" i="1"/>
  <c r="V687" i="1"/>
  <c r="W682" i="1"/>
  <c r="U676" i="1"/>
  <c r="W666" i="1"/>
  <c r="W661" i="1"/>
  <c r="W656" i="1"/>
  <c r="W643" i="1"/>
  <c r="R640" i="1"/>
  <c r="V638" i="1"/>
  <c r="W634" i="1"/>
  <c r="T613" i="1"/>
  <c r="V598" i="1"/>
  <c r="T594" i="1"/>
  <c r="W579" i="1"/>
  <c r="U575" i="1"/>
  <c r="W571" i="1"/>
  <c r="T564" i="1"/>
  <c r="W561" i="1"/>
  <c r="U543" i="1"/>
  <c r="U535" i="1"/>
  <c r="V520" i="1"/>
  <c r="T514" i="1"/>
  <c r="R510" i="1"/>
  <c r="U502" i="1"/>
  <c r="V499" i="1"/>
  <c r="T496" i="1"/>
  <c r="R471" i="1"/>
  <c r="T464" i="1"/>
  <c r="R408" i="1"/>
  <c r="T401" i="1"/>
  <c r="T375" i="1"/>
  <c r="W375" i="1"/>
  <c r="R268" i="1"/>
  <c r="W120" i="1"/>
  <c r="T120" i="1"/>
  <c r="U120" i="1"/>
  <c r="V120" i="1"/>
  <c r="V591" i="1"/>
  <c r="T591" i="1"/>
  <c r="W600" i="1"/>
  <c r="U600" i="1"/>
  <c r="T483" i="1"/>
  <c r="U483" i="1"/>
  <c r="W483" i="1"/>
  <c r="U324" i="1"/>
  <c r="V324" i="1"/>
  <c r="W324" i="1"/>
  <c r="U307" i="1"/>
  <c r="W307" i="1"/>
  <c r="V307" i="1"/>
  <c r="R595" i="1"/>
  <c r="T516" i="1"/>
  <c r="U516" i="1"/>
  <c r="V516" i="1"/>
  <c r="W504" i="1"/>
  <c r="T504" i="1"/>
  <c r="U504" i="1"/>
  <c r="U466" i="1"/>
  <c r="T466" i="1"/>
  <c r="V466" i="1"/>
  <c r="W466" i="1"/>
  <c r="R379" i="1"/>
  <c r="W326" i="1"/>
  <c r="T326" i="1"/>
  <c r="T215" i="1"/>
  <c r="U215" i="1"/>
  <c r="V215" i="1"/>
  <c r="W215" i="1"/>
  <c r="R462" i="1"/>
  <c r="W440" i="1"/>
  <c r="V440" i="1"/>
  <c r="R331" i="1"/>
  <c r="T89" i="1"/>
  <c r="V89" i="1"/>
  <c r="R662" i="1"/>
  <c r="T538" i="1"/>
  <c r="V538" i="1"/>
  <c r="W538" i="1"/>
  <c r="R521" i="1"/>
  <c r="R477" i="1"/>
  <c r="R374" i="1"/>
  <c r="R76" i="1"/>
  <c r="V692" i="1"/>
  <c r="V676" i="1"/>
  <c r="R627" i="1"/>
  <c r="W693" i="1"/>
  <c r="V682" i="1"/>
  <c r="W677" i="1"/>
  <c r="V666" i="1"/>
  <c r="V661" i="1"/>
  <c r="V656" i="1"/>
  <c r="V643" i="1"/>
  <c r="V634" i="1"/>
  <c r="W630" i="1"/>
  <c r="T617" i="1"/>
  <c r="V617" i="1"/>
  <c r="W614" i="1"/>
  <c r="W610" i="1"/>
  <c r="R608" i="1"/>
  <c r="V602" i="1"/>
  <c r="T567" i="1"/>
  <c r="V567" i="1"/>
  <c r="T553" i="1"/>
  <c r="V553" i="1"/>
  <c r="W550" i="1"/>
  <c r="U546" i="1"/>
  <c r="V546" i="1"/>
  <c r="T543" i="1"/>
  <c r="U520" i="1"/>
  <c r="R513" i="1"/>
  <c r="R463" i="1"/>
  <c r="T453" i="1"/>
  <c r="U453" i="1"/>
  <c r="W451" i="1"/>
  <c r="R377" i="1"/>
  <c r="R326" i="1"/>
  <c r="V269" i="1"/>
  <c r="T269" i="1"/>
  <c r="W269" i="1"/>
  <c r="T255" i="1"/>
  <c r="V255" i="1"/>
  <c r="U255" i="1"/>
  <c r="R204" i="1"/>
  <c r="U566" i="1"/>
  <c r="W566" i="1"/>
  <c r="R512" i="1"/>
  <c r="U2" i="1"/>
  <c r="V2" i="1"/>
  <c r="W2" i="1"/>
  <c r="T2" i="1"/>
  <c r="R547" i="1"/>
  <c r="U682" i="1"/>
  <c r="V677" i="1"/>
  <c r="U666" i="1"/>
  <c r="U661" i="1"/>
  <c r="U656" i="1"/>
  <c r="W639" i="1"/>
  <c r="U634" i="1"/>
  <c r="V630" i="1"/>
  <c r="V614" i="1"/>
  <c r="V610" i="1"/>
  <c r="U602" i="1"/>
  <c r="W591" i="1"/>
  <c r="V587" i="1"/>
  <c r="V575" i="1"/>
  <c r="W575" i="1"/>
  <c r="V550" i="1"/>
  <c r="R545" i="1"/>
  <c r="R516" i="1"/>
  <c r="U509" i="1"/>
  <c r="T484" i="1"/>
  <c r="U484" i="1"/>
  <c r="W484" i="1"/>
  <c r="W470" i="1"/>
  <c r="W467" i="1"/>
  <c r="R460" i="1"/>
  <c r="V451" i="1"/>
  <c r="R443" i="1"/>
  <c r="R403" i="1"/>
  <c r="R363" i="1"/>
  <c r="R340" i="1"/>
  <c r="R335" i="1"/>
  <c r="R294" i="1"/>
  <c r="U437" i="1"/>
  <c r="W437" i="1"/>
  <c r="V421" i="1"/>
  <c r="W421" i="1"/>
  <c r="T421" i="1"/>
  <c r="V347" i="1"/>
  <c r="T347" i="1"/>
  <c r="U347" i="1"/>
  <c r="W347" i="1"/>
  <c r="R515" i="1"/>
  <c r="U498" i="1"/>
  <c r="T498" i="1"/>
  <c r="T377" i="1"/>
  <c r="W377" i="1"/>
  <c r="T329" i="1"/>
  <c r="U329" i="1"/>
  <c r="W329" i="1"/>
  <c r="V125" i="1"/>
  <c r="W125" i="1"/>
  <c r="T125" i="1"/>
  <c r="U125" i="1"/>
  <c r="R400" i="1"/>
  <c r="W385" i="1"/>
  <c r="T385" i="1"/>
  <c r="U385" i="1"/>
  <c r="V385" i="1"/>
  <c r="T312" i="1"/>
  <c r="V312" i="1"/>
  <c r="W312" i="1"/>
  <c r="U312" i="1"/>
  <c r="R252" i="1"/>
  <c r="W570" i="1"/>
  <c r="U570" i="1"/>
  <c r="W433" i="1"/>
  <c r="T433" i="1"/>
  <c r="U433" i="1"/>
  <c r="V433" i="1"/>
  <c r="V693" i="1"/>
  <c r="W688" i="1"/>
  <c r="W672" i="1"/>
  <c r="U643" i="1"/>
  <c r="W652" i="1"/>
  <c r="U647" i="1"/>
  <c r="W647" i="1"/>
  <c r="U630" i="1"/>
  <c r="T626" i="1"/>
  <c r="V626" i="1"/>
  <c r="V618" i="1"/>
  <c r="T610" i="1"/>
  <c r="W607" i="1"/>
  <c r="T602" i="1"/>
  <c r="W595" i="1"/>
  <c r="R593" i="1"/>
  <c r="U591" i="1"/>
  <c r="T587" i="1"/>
  <c r="T583" i="1"/>
  <c r="V583" i="1"/>
  <c r="V568" i="1"/>
  <c r="R563" i="1"/>
  <c r="T550" i="1"/>
  <c r="U530" i="1"/>
  <c r="V530" i="1"/>
  <c r="W530" i="1"/>
  <c r="W523" i="1"/>
  <c r="V523" i="1"/>
  <c r="U517" i="1"/>
  <c r="W517" i="1"/>
  <c r="T509" i="1"/>
  <c r="R507" i="1"/>
  <c r="V493" i="1"/>
  <c r="T493" i="1"/>
  <c r="T490" i="1"/>
  <c r="V490" i="1"/>
  <c r="W490" i="1"/>
  <c r="U490" i="1"/>
  <c r="W487" i="1"/>
  <c r="W482" i="1"/>
  <c r="V470" i="1"/>
  <c r="V467" i="1"/>
  <c r="U451" i="1"/>
  <c r="U445" i="1"/>
  <c r="U436" i="1"/>
  <c r="R435" i="1"/>
  <c r="R433" i="1"/>
  <c r="W409" i="1"/>
  <c r="T409" i="1"/>
  <c r="V381" i="1"/>
  <c r="W381" i="1"/>
  <c r="V361" i="1"/>
  <c r="T361" i="1"/>
  <c r="T359" i="1"/>
  <c r="U359" i="1"/>
  <c r="V359" i="1"/>
  <c r="W359" i="1"/>
  <c r="R358" i="1"/>
  <c r="V333" i="1"/>
  <c r="T333" i="1"/>
  <c r="V295" i="1"/>
  <c r="W295" i="1"/>
  <c r="U295" i="1"/>
  <c r="U267" i="1"/>
  <c r="W267" i="1"/>
  <c r="T267" i="1"/>
  <c r="V267" i="1"/>
  <c r="R266" i="1"/>
  <c r="U251" i="1"/>
  <c r="V251" i="1"/>
  <c r="W251" i="1"/>
  <c r="T251" i="1"/>
  <c r="U243" i="1"/>
  <c r="T243" i="1"/>
  <c r="R483" i="1"/>
  <c r="R420" i="1"/>
  <c r="U418" i="1"/>
  <c r="T418" i="1"/>
  <c r="U403" i="1"/>
  <c r="W403" i="1"/>
  <c r="V383" i="1"/>
  <c r="W383" i="1"/>
  <c r="R371" i="1"/>
  <c r="T341" i="1"/>
  <c r="V341" i="1"/>
  <c r="R334" i="1"/>
  <c r="R310" i="1"/>
  <c r="U298" i="1"/>
  <c r="W298" i="1"/>
  <c r="R264" i="1"/>
  <c r="R531" i="1"/>
  <c r="V515" i="1"/>
  <c r="T500" i="1"/>
  <c r="U500" i="1"/>
  <c r="V497" i="1"/>
  <c r="V486" i="1"/>
  <c r="R481" i="1"/>
  <c r="T468" i="1"/>
  <c r="U468" i="1"/>
  <c r="V465" i="1"/>
  <c r="V461" i="1"/>
  <c r="U461" i="1"/>
  <c r="V452" i="1"/>
  <c r="T425" i="1"/>
  <c r="U425" i="1"/>
  <c r="V425" i="1"/>
  <c r="W425" i="1"/>
  <c r="T422" i="1"/>
  <c r="R421" i="1"/>
  <c r="R409" i="1"/>
  <c r="T407" i="1"/>
  <c r="W407" i="1"/>
  <c r="U399" i="1"/>
  <c r="V399" i="1"/>
  <c r="W399" i="1"/>
  <c r="U384" i="1"/>
  <c r="V384" i="1"/>
  <c r="V365" i="1"/>
  <c r="U365" i="1"/>
  <c r="W365" i="1"/>
  <c r="U345" i="1"/>
  <c r="R344" i="1"/>
  <c r="R248" i="1"/>
  <c r="U234" i="1"/>
  <c r="T234" i="1"/>
  <c r="V234" i="1"/>
  <c r="R181" i="1"/>
  <c r="W136" i="1"/>
  <c r="U136" i="1"/>
  <c r="V136" i="1"/>
  <c r="R398" i="1"/>
  <c r="T373" i="1"/>
  <c r="U373" i="1"/>
  <c r="R372" i="1"/>
  <c r="T325" i="1"/>
  <c r="U325" i="1"/>
  <c r="W325" i="1"/>
  <c r="R314" i="1"/>
  <c r="R267" i="1"/>
  <c r="W256" i="1"/>
  <c r="U256" i="1"/>
  <c r="T256" i="1"/>
  <c r="V256" i="1"/>
  <c r="T10" i="1"/>
  <c r="W10" i="1"/>
  <c r="R577" i="1"/>
  <c r="R499" i="1"/>
  <c r="U472" i="1"/>
  <c r="R467" i="1"/>
  <c r="V455" i="1"/>
  <c r="T452" i="1"/>
  <c r="U435" i="1"/>
  <c r="V435" i="1"/>
  <c r="W435" i="1"/>
  <c r="R434" i="1"/>
  <c r="R424" i="1"/>
  <c r="W417" i="1"/>
  <c r="U414" i="1"/>
  <c r="V405" i="1"/>
  <c r="R386" i="1"/>
  <c r="V379" i="1"/>
  <c r="U379" i="1"/>
  <c r="W379" i="1"/>
  <c r="U368" i="1"/>
  <c r="T368" i="1"/>
  <c r="W340" i="1"/>
  <c r="V337" i="1"/>
  <c r="R317" i="1"/>
  <c r="V315" i="1"/>
  <c r="W315" i="1"/>
  <c r="R240" i="1"/>
  <c r="V221" i="1"/>
  <c r="W221" i="1"/>
  <c r="T221" i="1"/>
  <c r="U221" i="1"/>
  <c r="R192" i="1"/>
  <c r="R50" i="1"/>
  <c r="T13" i="1"/>
  <c r="U13" i="1"/>
  <c r="V13" i="1"/>
  <c r="W13" i="1"/>
  <c r="U8" i="1"/>
  <c r="V8" i="1"/>
  <c r="W8" i="1"/>
  <c r="T522" i="1"/>
  <c r="V522" i="1"/>
  <c r="W522" i="1"/>
  <c r="T472" i="1"/>
  <c r="U455" i="1"/>
  <c r="T449" i="1"/>
  <c r="U449" i="1"/>
  <c r="V449" i="1"/>
  <c r="W449" i="1"/>
  <c r="R440" i="1"/>
  <c r="V417" i="1"/>
  <c r="T414" i="1"/>
  <c r="U405" i="1"/>
  <c r="U397" i="1"/>
  <c r="R375" i="1"/>
  <c r="T357" i="1"/>
  <c r="V357" i="1"/>
  <c r="V340" i="1"/>
  <c r="T337" i="1"/>
  <c r="R293" i="1"/>
  <c r="R283" i="1"/>
  <c r="W144" i="1"/>
  <c r="V144" i="1"/>
  <c r="U144" i="1"/>
  <c r="T46" i="1"/>
  <c r="U46" i="1"/>
  <c r="V46" i="1"/>
  <c r="W46" i="1"/>
  <c r="T411" i="1"/>
  <c r="U411" i="1"/>
  <c r="V411" i="1"/>
  <c r="W411" i="1"/>
  <c r="R378" i="1"/>
  <c r="V363" i="1"/>
  <c r="T363" i="1"/>
  <c r="U363" i="1"/>
  <c r="W363" i="1"/>
  <c r="W360" i="1"/>
  <c r="T360" i="1"/>
  <c r="U360" i="1"/>
  <c r="T343" i="1"/>
  <c r="U343" i="1"/>
  <c r="V343" i="1"/>
  <c r="W343" i="1"/>
  <c r="U340" i="1"/>
  <c r="R184" i="1"/>
  <c r="R179" i="1"/>
  <c r="R457" i="1"/>
  <c r="R448" i="1"/>
  <c r="V397" i="1"/>
  <c r="W397" i="1"/>
  <c r="R384" i="1"/>
  <c r="R370" i="1"/>
  <c r="R351" i="1"/>
  <c r="U321" i="1"/>
  <c r="V321" i="1"/>
  <c r="W321" i="1"/>
  <c r="T308" i="1"/>
  <c r="U308" i="1"/>
  <c r="V308" i="1"/>
  <c r="W308" i="1"/>
  <c r="U264" i="1"/>
  <c r="V264" i="1"/>
  <c r="W264" i="1"/>
  <c r="T264" i="1"/>
  <c r="T239" i="1"/>
  <c r="V239" i="1"/>
  <c r="W239" i="1"/>
  <c r="T185" i="1"/>
  <c r="W185" i="1"/>
  <c r="V185" i="1"/>
  <c r="R561" i="1"/>
  <c r="R529" i="1"/>
  <c r="U501" i="1"/>
  <c r="W501" i="1"/>
  <c r="R500" i="1"/>
  <c r="U469" i="1"/>
  <c r="W469" i="1"/>
  <c r="R468" i="1"/>
  <c r="T423" i="1"/>
  <c r="V423" i="1"/>
  <c r="R422" i="1"/>
  <c r="R419" i="1"/>
  <c r="R410" i="1"/>
  <c r="R407" i="1"/>
  <c r="R399" i="1"/>
  <c r="V371" i="1"/>
  <c r="W371" i="1"/>
  <c r="R362" i="1"/>
  <c r="U352" i="1"/>
  <c r="T352" i="1"/>
  <c r="V349" i="1"/>
  <c r="T349" i="1"/>
  <c r="R342" i="1"/>
  <c r="R325" i="1"/>
  <c r="R286" i="1"/>
  <c r="U250" i="1"/>
  <c r="T250" i="1"/>
  <c r="W250" i="1"/>
  <c r="V250" i="1"/>
  <c r="R249" i="1"/>
  <c r="U196" i="1"/>
  <c r="W196" i="1"/>
  <c r="V196" i="1"/>
  <c r="T306" i="1"/>
  <c r="U306" i="1"/>
  <c r="W306" i="1"/>
  <c r="T303" i="1"/>
  <c r="U303" i="1"/>
  <c r="U297" i="1"/>
  <c r="W297" i="1"/>
  <c r="V297" i="1"/>
  <c r="R261" i="1"/>
  <c r="U238" i="1"/>
  <c r="V238" i="1"/>
  <c r="W238" i="1"/>
  <c r="T128" i="1"/>
  <c r="W128" i="1"/>
  <c r="V128" i="1"/>
  <c r="V115" i="1"/>
  <c r="W115" i="1"/>
  <c r="U115" i="1"/>
  <c r="U74" i="1"/>
  <c r="T74" i="1"/>
  <c r="R65" i="1"/>
  <c r="U30" i="1"/>
  <c r="W30" i="1"/>
  <c r="T30" i="1"/>
  <c r="V30" i="1"/>
  <c r="R449" i="1"/>
  <c r="R367" i="1"/>
  <c r="R347" i="1"/>
  <c r="U322" i="1"/>
  <c r="T322" i="1"/>
  <c r="V322" i="1"/>
  <c r="R321" i="1"/>
  <c r="R288" i="1"/>
  <c r="U252" i="1"/>
  <c r="V252" i="1"/>
  <c r="T252" i="1"/>
  <c r="R251" i="1"/>
  <c r="R195" i="1"/>
  <c r="R99" i="1"/>
  <c r="V85" i="1"/>
  <c r="W85" i="1"/>
  <c r="T85" i="1"/>
  <c r="U85" i="1"/>
  <c r="R35" i="1"/>
  <c r="R7" i="1"/>
  <c r="R364" i="1"/>
  <c r="R300" i="1"/>
  <c r="R273" i="1"/>
  <c r="U268" i="1"/>
  <c r="V268" i="1"/>
  <c r="R207" i="1"/>
  <c r="U153" i="1"/>
  <c r="V153" i="1"/>
  <c r="W153" i="1"/>
  <c r="T153" i="1"/>
  <c r="V142" i="1"/>
  <c r="W142" i="1"/>
  <c r="T142" i="1"/>
  <c r="V495" i="1"/>
  <c r="V479" i="1"/>
  <c r="V463" i="1"/>
  <c r="V458" i="1"/>
  <c r="V439" i="1"/>
  <c r="T434" i="1"/>
  <c r="U420" i="1"/>
  <c r="U406" i="1"/>
  <c r="T402" i="1"/>
  <c r="V390" i="1"/>
  <c r="T382" i="1"/>
  <c r="U374" i="1"/>
  <c r="T370" i="1"/>
  <c r="V351" i="1"/>
  <c r="W335" i="1"/>
  <c r="U331" i="1"/>
  <c r="W327" i="1"/>
  <c r="T323" i="1"/>
  <c r="R322" i="1"/>
  <c r="R319" i="1"/>
  <c r="V317" i="1"/>
  <c r="U317" i="1"/>
  <c r="V285" i="1"/>
  <c r="R281" i="1"/>
  <c r="R265" i="1"/>
  <c r="U261" i="1"/>
  <c r="W258" i="1"/>
  <c r="T258" i="1"/>
  <c r="V258" i="1"/>
  <c r="U258" i="1"/>
  <c r="V248" i="1"/>
  <c r="U248" i="1"/>
  <c r="W248" i="1"/>
  <c r="W242" i="1"/>
  <c r="U242" i="1"/>
  <c r="R236" i="1"/>
  <c r="U211" i="1"/>
  <c r="W208" i="1"/>
  <c r="V208" i="1"/>
  <c r="V203" i="1"/>
  <c r="U439" i="1"/>
  <c r="T406" i="1"/>
  <c r="U386" i="1"/>
  <c r="T386" i="1"/>
  <c r="T374" i="1"/>
  <c r="V335" i="1"/>
  <c r="R316" i="1"/>
  <c r="T285" i="1"/>
  <c r="R270" i="1"/>
  <c r="R263" i="1"/>
  <c r="R257" i="1"/>
  <c r="R247" i="1"/>
  <c r="U237" i="1"/>
  <c r="V237" i="1"/>
  <c r="W237" i="1"/>
  <c r="T211" i="1"/>
  <c r="R202" i="1"/>
  <c r="U174" i="1"/>
  <c r="V174" i="1"/>
  <c r="W174" i="1"/>
  <c r="R144" i="1"/>
  <c r="R103" i="1"/>
  <c r="W390" i="1"/>
  <c r="T390" i="1"/>
  <c r="R353" i="1"/>
  <c r="V331" i="1"/>
  <c r="W331" i="1"/>
  <c r="R289" i="1"/>
  <c r="V261" i="1"/>
  <c r="W261" i="1"/>
  <c r="R260" i="1"/>
  <c r="R244" i="1"/>
  <c r="U235" i="1"/>
  <c r="T235" i="1"/>
  <c r="V235" i="1"/>
  <c r="W235" i="1"/>
  <c r="R213" i="1"/>
  <c r="R210" i="1"/>
  <c r="U203" i="1"/>
  <c r="W203" i="1"/>
  <c r="V94" i="1"/>
  <c r="T94" i="1"/>
  <c r="U94" i="1"/>
  <c r="W94" i="1"/>
  <c r="R64" i="1"/>
  <c r="R369" i="1"/>
  <c r="W290" i="1"/>
  <c r="U290" i="1"/>
  <c r="V117" i="1"/>
  <c r="T117" i="1"/>
  <c r="U117" i="1"/>
  <c r="W117" i="1"/>
  <c r="W104" i="1"/>
  <c r="T104" i="1"/>
  <c r="U52" i="1"/>
  <c r="W52" i="1"/>
  <c r="U284" i="1"/>
  <c r="T284" i="1"/>
  <c r="W284" i="1"/>
  <c r="T271" i="1"/>
  <c r="U271" i="1"/>
  <c r="W271" i="1"/>
  <c r="V245" i="1"/>
  <c r="T245" i="1"/>
  <c r="U245" i="1"/>
  <c r="R229" i="1"/>
  <c r="R218" i="1"/>
  <c r="V205" i="1"/>
  <c r="W205" i="1"/>
  <c r="U205" i="1"/>
  <c r="R198" i="1"/>
  <c r="R149" i="1"/>
  <c r="U147" i="1"/>
  <c r="W147" i="1"/>
  <c r="R146" i="1"/>
  <c r="R56" i="1"/>
  <c r="R53" i="1"/>
  <c r="R45" i="1"/>
  <c r="R40" i="1"/>
  <c r="W299" i="1"/>
  <c r="R287" i="1"/>
  <c r="U282" i="1"/>
  <c r="V282" i="1"/>
  <c r="R245" i="1"/>
  <c r="R233" i="1"/>
  <c r="R230" i="1"/>
  <c r="W212" i="1"/>
  <c r="U192" i="1"/>
  <c r="U178" i="1"/>
  <c r="V178" i="1"/>
  <c r="W178" i="1"/>
  <c r="R164" i="1"/>
  <c r="U159" i="1"/>
  <c r="R158" i="1"/>
  <c r="R112" i="1"/>
  <c r="T29" i="1"/>
  <c r="U29" i="1"/>
  <c r="V29" i="1"/>
  <c r="W29" i="1"/>
  <c r="R28" i="1"/>
  <c r="R23" i="1"/>
  <c r="U162" i="1"/>
  <c r="V162" i="1"/>
  <c r="W162" i="1"/>
  <c r="R126" i="1"/>
  <c r="V100" i="1"/>
  <c r="W100" i="1"/>
  <c r="R92" i="1"/>
  <c r="R15" i="1"/>
  <c r="V318" i="1"/>
  <c r="V289" i="1"/>
  <c r="V286" i="1"/>
  <c r="W273" i="1"/>
  <c r="R222" i="1"/>
  <c r="W218" i="1"/>
  <c r="R194" i="1"/>
  <c r="U170" i="1"/>
  <c r="W170" i="1"/>
  <c r="R161" i="1"/>
  <c r="V157" i="1"/>
  <c r="W157" i="1"/>
  <c r="T157" i="1"/>
  <c r="U157" i="1"/>
  <c r="U154" i="1"/>
  <c r="W154" i="1"/>
  <c r="T119" i="1"/>
  <c r="U119" i="1"/>
  <c r="V119" i="1"/>
  <c r="W119" i="1"/>
  <c r="R39" i="1"/>
  <c r="U32" i="1"/>
  <c r="V32" i="1"/>
  <c r="W32" i="1"/>
  <c r="R401" i="1"/>
  <c r="R337" i="1"/>
  <c r="U310" i="1"/>
  <c r="R305" i="1"/>
  <c r="U289" i="1"/>
  <c r="T286" i="1"/>
  <c r="R262" i="1"/>
  <c r="U232" i="1"/>
  <c r="R231" i="1"/>
  <c r="W223" i="1"/>
  <c r="V223" i="1"/>
  <c r="R214" i="1"/>
  <c r="U195" i="1"/>
  <c r="W195" i="1"/>
  <c r="U190" i="1"/>
  <c r="V165" i="1"/>
  <c r="W165" i="1"/>
  <c r="R156" i="1"/>
  <c r="V138" i="1"/>
  <c r="W138" i="1"/>
  <c r="U138" i="1"/>
  <c r="R129" i="1"/>
  <c r="R100" i="1"/>
  <c r="U98" i="1"/>
  <c r="V98" i="1"/>
  <c r="W98" i="1"/>
  <c r="T98" i="1"/>
  <c r="R82" i="1"/>
  <c r="R13" i="1"/>
  <c r="T273" i="1"/>
  <c r="V273" i="1"/>
  <c r="T254" i="1"/>
  <c r="V254" i="1"/>
  <c r="W254" i="1"/>
  <c r="T218" i="1"/>
  <c r="U218" i="1"/>
  <c r="R135" i="1"/>
  <c r="V109" i="1"/>
  <c r="W109" i="1"/>
  <c r="T109" i="1"/>
  <c r="U109" i="1"/>
  <c r="V40" i="1"/>
  <c r="W40" i="1"/>
  <c r="U40" i="1"/>
  <c r="V19" i="1"/>
  <c r="W19" i="1"/>
  <c r="U19" i="1"/>
  <c r="V293" i="1"/>
  <c r="W293" i="1"/>
  <c r="R291" i="1"/>
  <c r="U280" i="1"/>
  <c r="W280" i="1"/>
  <c r="T241" i="1"/>
  <c r="U241" i="1"/>
  <c r="W241" i="1"/>
  <c r="R108" i="1"/>
  <c r="W88" i="1"/>
  <c r="T88" i="1"/>
  <c r="U88" i="1"/>
  <c r="V88" i="1"/>
  <c r="R85" i="1"/>
  <c r="R74" i="1"/>
  <c r="R297" i="1"/>
  <c r="R220" i="1"/>
  <c r="U180" i="1"/>
  <c r="V180" i="1"/>
  <c r="W180" i="1"/>
  <c r="W168" i="1"/>
  <c r="T168" i="1"/>
  <c r="U168" i="1"/>
  <c r="V168" i="1"/>
  <c r="R141" i="1"/>
  <c r="R138" i="1"/>
  <c r="R123" i="1"/>
  <c r="U66" i="1"/>
  <c r="V66" i="1"/>
  <c r="W66" i="1"/>
  <c r="U24" i="1"/>
  <c r="V24" i="1"/>
  <c r="W24" i="1"/>
  <c r="R165" i="1"/>
  <c r="R136" i="1"/>
  <c r="R133" i="1"/>
  <c r="V93" i="1"/>
  <c r="W93" i="1"/>
  <c r="T93" i="1"/>
  <c r="T87" i="1"/>
  <c r="U87" i="1"/>
  <c r="V87" i="1"/>
  <c r="W87" i="1"/>
  <c r="R51" i="1"/>
  <c r="W14" i="1"/>
  <c r="V14" i="1"/>
  <c r="R8" i="1"/>
  <c r="T236" i="1"/>
  <c r="U236" i="1"/>
  <c r="R177" i="1"/>
  <c r="R115" i="1"/>
  <c r="T111" i="1"/>
  <c r="U111" i="1"/>
  <c r="V111" i="1"/>
  <c r="W111" i="1"/>
  <c r="U96" i="1"/>
  <c r="V96" i="1"/>
  <c r="W96" i="1"/>
  <c r="R83" i="1"/>
  <c r="U73" i="1"/>
  <c r="V73" i="1"/>
  <c r="W73" i="1"/>
  <c r="V58" i="1"/>
  <c r="W58" i="1"/>
  <c r="T9" i="1"/>
  <c r="U9" i="1"/>
  <c r="V9" i="1"/>
  <c r="W9" i="1"/>
  <c r="V301" i="1"/>
  <c r="T279" i="1"/>
  <c r="V233" i="1"/>
  <c r="T229" i="1"/>
  <c r="V217" i="1"/>
  <c r="R212" i="1"/>
  <c r="V207" i="1"/>
  <c r="W201" i="1"/>
  <c r="U184" i="1"/>
  <c r="U181" i="1"/>
  <c r="U169" i="1"/>
  <c r="W158" i="1"/>
  <c r="U146" i="1"/>
  <c r="V146" i="1"/>
  <c r="W146" i="1"/>
  <c r="R142" i="1"/>
  <c r="W132" i="1"/>
  <c r="R110" i="1"/>
  <c r="V105" i="1"/>
  <c r="R95" i="1"/>
  <c r="T90" i="1"/>
  <c r="R84" i="1"/>
  <c r="U79" i="1"/>
  <c r="R72" i="1"/>
  <c r="R66" i="1"/>
  <c r="V56" i="1"/>
  <c r="U217" i="1"/>
  <c r="R209" i="1"/>
  <c r="U201" i="1"/>
  <c r="U194" i="1"/>
  <c r="V194" i="1"/>
  <c r="W194" i="1"/>
  <c r="R186" i="1"/>
  <c r="T184" i="1"/>
  <c r="R183" i="1"/>
  <c r="T176" i="1"/>
  <c r="U176" i="1"/>
  <c r="V176" i="1"/>
  <c r="W176" i="1"/>
  <c r="R171" i="1"/>
  <c r="V158" i="1"/>
  <c r="R145" i="1"/>
  <c r="V132" i="1"/>
  <c r="T105" i="1"/>
  <c r="T79" i="1"/>
  <c r="R38" i="1"/>
  <c r="R16" i="1"/>
  <c r="R6" i="1"/>
  <c r="R235" i="1"/>
  <c r="U207" i="1"/>
  <c r="W207" i="1"/>
  <c r="R190" i="1"/>
  <c r="R154" i="1"/>
  <c r="R137" i="1"/>
  <c r="U82" i="1"/>
  <c r="V82" i="1"/>
  <c r="W82" i="1"/>
  <c r="R299" i="1"/>
  <c r="V226" i="1"/>
  <c r="W226" i="1"/>
  <c r="T226" i="1"/>
  <c r="U226" i="1"/>
  <c r="R203" i="1"/>
  <c r="T167" i="1"/>
  <c r="U167" i="1"/>
  <c r="V167" i="1"/>
  <c r="W167" i="1"/>
  <c r="R81" i="1"/>
  <c r="T34" i="1"/>
  <c r="U34" i="1"/>
  <c r="V34" i="1"/>
  <c r="W34" i="1"/>
  <c r="R22" i="1"/>
  <c r="V173" i="1"/>
  <c r="W173" i="1"/>
  <c r="R160" i="1"/>
  <c r="T135" i="1"/>
  <c r="U135" i="1"/>
  <c r="V135" i="1"/>
  <c r="W135" i="1"/>
  <c r="R118" i="1"/>
  <c r="T55" i="1"/>
  <c r="U55" i="1"/>
  <c r="V55" i="1"/>
  <c r="W55" i="1"/>
  <c r="R12" i="1"/>
  <c r="V189" i="1"/>
  <c r="W189" i="1"/>
  <c r="R176" i="1"/>
  <c r="T151" i="1"/>
  <c r="U151" i="1"/>
  <c r="V151" i="1"/>
  <c r="W151" i="1"/>
  <c r="R134" i="1"/>
  <c r="R107" i="1"/>
  <c r="T71" i="1"/>
  <c r="U71" i="1"/>
  <c r="V71" i="1"/>
  <c r="W71" i="1"/>
  <c r="R54" i="1"/>
  <c r="R32" i="1"/>
  <c r="Z3" i="1"/>
  <c r="R97" i="1"/>
  <c r="V45" i="1"/>
  <c r="W45" i="1"/>
  <c r="V42" i="1"/>
  <c r="R33" i="1"/>
  <c r="V231" i="1"/>
  <c r="V222" i="1"/>
  <c r="U210" i="1"/>
  <c r="V210" i="1"/>
  <c r="W210" i="1"/>
  <c r="V191" i="1"/>
  <c r="T183" i="1"/>
  <c r="U183" i="1"/>
  <c r="V183" i="1"/>
  <c r="W183" i="1"/>
  <c r="U179" i="1"/>
  <c r="R166" i="1"/>
  <c r="U164" i="1"/>
  <c r="T152" i="1"/>
  <c r="V149" i="1"/>
  <c r="R139" i="1"/>
  <c r="U137" i="1"/>
  <c r="V126" i="1"/>
  <c r="V122" i="1"/>
  <c r="U114" i="1"/>
  <c r="V114" i="1"/>
  <c r="W114" i="1"/>
  <c r="V99" i="1"/>
  <c r="R86" i="1"/>
  <c r="U84" i="1"/>
  <c r="U80" i="1"/>
  <c r="T72" i="1"/>
  <c r="V69" i="1"/>
  <c r="U61" i="1"/>
  <c r="R59" i="1"/>
  <c r="U57" i="1"/>
  <c r="R44" i="1"/>
  <c r="U42" i="1"/>
  <c r="V35" i="1"/>
  <c r="V25" i="1"/>
  <c r="U15" i="1"/>
  <c r="R193" i="1"/>
  <c r="V141" i="1"/>
  <c r="W141" i="1"/>
  <c r="R128" i="1"/>
  <c r="T103" i="1"/>
  <c r="U103" i="1"/>
  <c r="V103" i="1"/>
  <c r="W103" i="1"/>
  <c r="U35" i="1"/>
  <c r="R27" i="1"/>
  <c r="R17" i="1"/>
  <c r="R113" i="1"/>
  <c r="V61" i="1"/>
  <c r="W61" i="1"/>
  <c r="R48" i="1"/>
  <c r="R11" i="1"/>
  <c r="T199" i="1"/>
  <c r="U199" i="1"/>
  <c r="V199" i="1"/>
  <c r="R182" i="1"/>
  <c r="R155" i="1"/>
  <c r="U130" i="1"/>
  <c r="V130" i="1"/>
  <c r="W130" i="1"/>
  <c r="R75" i="1"/>
  <c r="U50" i="1"/>
  <c r="V50" i="1"/>
  <c r="W50" i="1"/>
  <c r="R3" i="1"/>
  <c r="Z2" i="1"/>
  <c r="W39" i="1"/>
  <c r="W23" i="1"/>
  <c r="W7" i="1"/>
  <c r="W3" i="1"/>
  <c r="U220" i="1"/>
  <c r="U92" i="1"/>
  <c r="U76" i="1"/>
  <c r="U60" i="1"/>
  <c r="U44" i="1"/>
  <c r="V39" i="1"/>
  <c r="U28" i="1"/>
  <c r="V23" i="1"/>
  <c r="W18" i="1"/>
  <c r="U12" i="1"/>
  <c r="V7" i="1"/>
  <c r="V3" i="1"/>
  <c r="U39" i="1"/>
  <c r="U23" i="1"/>
  <c r="V18" i="1"/>
  <c r="U7" i="1"/>
  <c r="U3" i="1"/>
  <c r="U18" i="1"/>
</calcChain>
</file>

<file path=xl/sharedStrings.xml><?xml version="1.0" encoding="utf-8"?>
<sst xmlns="http://schemas.openxmlformats.org/spreadsheetml/2006/main" count="1017" uniqueCount="825">
  <si>
    <t>M2.5 V</t>
  </si>
  <si>
    <t>Wolf 327 b</t>
  </si>
  <si>
    <t>WD 1856+534 b</t>
  </si>
  <si>
    <t>WASP-18 c</t>
  </si>
  <si>
    <t>K4 V</t>
  </si>
  <si>
    <t>WASP-132 c</t>
  </si>
  <si>
    <t>WASP-126 c</t>
  </si>
  <si>
    <t>K V</t>
  </si>
  <si>
    <t>TOI-969 b</t>
  </si>
  <si>
    <t>TOI-954 b</t>
  </si>
  <si>
    <t>M3</t>
  </si>
  <si>
    <t>TOI-912 b</t>
  </si>
  <si>
    <t>G V</t>
  </si>
  <si>
    <t>TOI-908 b</t>
  </si>
  <si>
    <t>TOI-907.01</t>
  </si>
  <si>
    <t>TOI-905 b</t>
  </si>
  <si>
    <t>TOI-904 c</t>
  </si>
  <si>
    <t>TOI-904 b</t>
  </si>
  <si>
    <t>F</t>
  </si>
  <si>
    <t>TOI-892 b</t>
  </si>
  <si>
    <t>K</t>
  </si>
  <si>
    <t>TOI-880.02</t>
  </si>
  <si>
    <t>TOI-880 c</t>
  </si>
  <si>
    <t>TOI-871 b</t>
  </si>
  <si>
    <t>G0</t>
  </si>
  <si>
    <t>TOI-858 B b</t>
  </si>
  <si>
    <t>TOI-849 b</t>
  </si>
  <si>
    <t>F9/G0</t>
  </si>
  <si>
    <t>TOI-837 b</t>
  </si>
  <si>
    <t>TOI-836 c</t>
  </si>
  <si>
    <t>TOI-836 b</t>
  </si>
  <si>
    <t>TOI-833 b</t>
  </si>
  <si>
    <t>TOI-824 b</t>
  </si>
  <si>
    <t>K3 V</t>
  </si>
  <si>
    <t>TOI-815 c</t>
  </si>
  <si>
    <t>TOI-815 b</t>
  </si>
  <si>
    <t>G0 IV</t>
  </si>
  <si>
    <t>TOI-813 b</t>
  </si>
  <si>
    <t>G</t>
  </si>
  <si>
    <t>TOI-784 b</t>
  </si>
  <si>
    <t>TOI-782 b</t>
  </si>
  <si>
    <t>F3 V</t>
  </si>
  <si>
    <t>TOI-778 b</t>
  </si>
  <si>
    <t>TOI-776 c</t>
  </si>
  <si>
    <t>TOI-776 b</t>
  </si>
  <si>
    <t>TOI-771 b</t>
  </si>
  <si>
    <t>TOI-763 c</t>
  </si>
  <si>
    <t>TOI-763 b</t>
  </si>
  <si>
    <t>TOI-762 A b</t>
  </si>
  <si>
    <t>K0 V</t>
  </si>
  <si>
    <t>TOI-757 b</t>
  </si>
  <si>
    <t>M1 V</t>
  </si>
  <si>
    <t>TOI-756 b</t>
  </si>
  <si>
    <t>G3</t>
  </si>
  <si>
    <t>TOI-7510 d</t>
  </si>
  <si>
    <t>TOI-7510 c</t>
  </si>
  <si>
    <t>TOI-7510 b</t>
  </si>
  <si>
    <t>TOI-733 b</t>
  </si>
  <si>
    <t>M4</t>
  </si>
  <si>
    <t>TOI-715 b</t>
  </si>
  <si>
    <t>M4 V</t>
  </si>
  <si>
    <t>TOI-7149 b</t>
  </si>
  <si>
    <t>K4.5 V</t>
  </si>
  <si>
    <t>TOI-712 d</t>
  </si>
  <si>
    <t>TOI-712 c</t>
  </si>
  <si>
    <t>TOI-712 b</t>
  </si>
  <si>
    <t>TOI-7041 b</t>
  </si>
  <si>
    <t>TOI-700 e</t>
  </si>
  <si>
    <t>TOI-700 d</t>
  </si>
  <si>
    <t>TOI-700 c</t>
  </si>
  <si>
    <t>TOI-700 b</t>
  </si>
  <si>
    <t>TOI-6894 b</t>
  </si>
  <si>
    <t>F8</t>
  </si>
  <si>
    <t>TOI-677 b</t>
  </si>
  <si>
    <t>M2 V</t>
  </si>
  <si>
    <t>TOI-674 b</t>
  </si>
  <si>
    <t>F5V-G0V</t>
  </si>
  <si>
    <t>TOI-6695 b</t>
  </si>
  <si>
    <t>TOI-669 b</t>
  </si>
  <si>
    <t>TOI-6651 b</t>
  </si>
  <si>
    <t>TOI-663 d</t>
  </si>
  <si>
    <t>TOI-663 c</t>
  </si>
  <si>
    <t>TOI-663 b</t>
  </si>
  <si>
    <t>TOI-6628 b</t>
  </si>
  <si>
    <t>TOI-654.01</t>
  </si>
  <si>
    <t>M4.0+/-0.5</t>
  </si>
  <si>
    <t>TOI-6478 b</t>
  </si>
  <si>
    <t>TOI-6448 b</t>
  </si>
  <si>
    <t>TOI-6420 b</t>
  </si>
  <si>
    <t>TOI-640 b</t>
  </si>
  <si>
    <t>TOI-6383 A b</t>
  </si>
  <si>
    <t>TOI-6330 b</t>
  </si>
  <si>
    <t>TOI-6324 b</t>
  </si>
  <si>
    <t>TOI-6303 b</t>
  </si>
  <si>
    <t>TOI-628 b</t>
  </si>
  <si>
    <t>TOI-6255 b</t>
  </si>
  <si>
    <t>M0 V</t>
  </si>
  <si>
    <t>TOI-6223 b</t>
  </si>
  <si>
    <t>F6 V</t>
  </si>
  <si>
    <t>TOI-622 b</t>
  </si>
  <si>
    <t>TOI-620 b</t>
  </si>
  <si>
    <t>F2 V</t>
  </si>
  <si>
    <t>TOI-615 b</t>
  </si>
  <si>
    <t>TOI-6130 b</t>
  </si>
  <si>
    <t>TOI-6109 c</t>
  </si>
  <si>
    <t>TOI-6109 b</t>
  </si>
  <si>
    <t>M3.0</t>
  </si>
  <si>
    <t>TOI-6086 b</t>
  </si>
  <si>
    <t>TOI-6054.02</t>
  </si>
  <si>
    <t>TOI-6054.01</t>
  </si>
  <si>
    <t>G7</t>
  </si>
  <si>
    <t>TOI-6041 b</t>
  </si>
  <si>
    <t>TOI-6038 A b</t>
  </si>
  <si>
    <t>TOI-6034 b</t>
  </si>
  <si>
    <t>TOI-6029 b</t>
  </si>
  <si>
    <t>TOI-6016 b</t>
  </si>
  <si>
    <t>M5.0</t>
  </si>
  <si>
    <t>TOI-6008 b</t>
  </si>
  <si>
    <t>M3.5+/-0.5</t>
  </si>
  <si>
    <t>TOI-6002 b</t>
  </si>
  <si>
    <t>TOI-5882 b</t>
  </si>
  <si>
    <t>G2 IV-V</t>
  </si>
  <si>
    <t>TOI-5817 b</t>
  </si>
  <si>
    <t>TOI-5800 b</t>
  </si>
  <si>
    <t>TOI-5799 c</t>
  </si>
  <si>
    <t>TOI-5799 b</t>
  </si>
  <si>
    <t>G3 V</t>
  </si>
  <si>
    <t>TOI-5795 b</t>
  </si>
  <si>
    <t>TOI-5786 b</t>
  </si>
  <si>
    <t>TOI-5726.01</t>
  </si>
  <si>
    <t>M3.5 +/- 1.0</t>
  </si>
  <si>
    <t>TOI-5720 b</t>
  </si>
  <si>
    <t>TOI-5713 b</t>
  </si>
  <si>
    <t>TOI-5688 A b</t>
  </si>
  <si>
    <t>G7 V</t>
  </si>
  <si>
    <t>TOI-5678 b</t>
  </si>
  <si>
    <t>TOI-564 b</t>
  </si>
  <si>
    <t>TOI-5634 A b</t>
  </si>
  <si>
    <t>TOI-5616 b</t>
  </si>
  <si>
    <t>TOI-5592 b</t>
  </si>
  <si>
    <t>TOI-559 b</t>
  </si>
  <si>
    <t>F V</t>
  </si>
  <si>
    <t>TOI-558 b</t>
  </si>
  <si>
    <t>TOI-5573 b</t>
  </si>
  <si>
    <t>TOI-5542 b</t>
  </si>
  <si>
    <t>TOI-544 b</t>
  </si>
  <si>
    <t>M V</t>
  </si>
  <si>
    <t>TOI-540 b</t>
  </si>
  <si>
    <t>TOI-5398 c</t>
  </si>
  <si>
    <t>TOI-5398 b</t>
  </si>
  <si>
    <t>TOI-5388.01</t>
  </si>
  <si>
    <t>TOI-5386 A b</t>
  </si>
  <si>
    <t>TOI-5350 b</t>
  </si>
  <si>
    <t>TOI-5344 b</t>
  </si>
  <si>
    <t>TOI-5340 b</t>
  </si>
  <si>
    <t>TOI-5322 b</t>
  </si>
  <si>
    <t>TOI-532 b</t>
  </si>
  <si>
    <t>M</t>
  </si>
  <si>
    <t>TOI-5319 b</t>
  </si>
  <si>
    <t>TOI-5301 b</t>
  </si>
  <si>
    <t>TOI-5300 b</t>
  </si>
  <si>
    <t>M0.5 V</t>
  </si>
  <si>
    <t>TOI-530 b</t>
  </si>
  <si>
    <t>M3+/-1</t>
  </si>
  <si>
    <t>TOI-5293 A b</t>
  </si>
  <si>
    <t>TOI-5261 b</t>
  </si>
  <si>
    <t>TOI-5232 b</t>
  </si>
  <si>
    <t>TOI-5218 b</t>
  </si>
  <si>
    <t>TOI-5210 b</t>
  </si>
  <si>
    <t>TOI-521 b</t>
  </si>
  <si>
    <t>M4.0</t>
  </si>
  <si>
    <t>TOI-5205 b</t>
  </si>
  <si>
    <t>TOI-519 b</t>
  </si>
  <si>
    <t>TOI-5181 A b</t>
  </si>
  <si>
    <t>F8 V</t>
  </si>
  <si>
    <t>TOI-5153 b</t>
  </si>
  <si>
    <t>TOI-5143 c</t>
  </si>
  <si>
    <t>TOI-5126 c</t>
  </si>
  <si>
    <t>TOI-5126 b</t>
  </si>
  <si>
    <t>TOI-512 b</t>
  </si>
  <si>
    <t>TOI-5110 b</t>
  </si>
  <si>
    <t>TOI-5108 b</t>
  </si>
  <si>
    <t>TOI-5082.01</t>
  </si>
  <si>
    <t>TOI-5076 b</t>
  </si>
  <si>
    <t>TOI-5027 b</t>
  </si>
  <si>
    <t>G2 V</t>
  </si>
  <si>
    <t>TOI-5005 b</t>
  </si>
  <si>
    <t>K6 V</t>
  </si>
  <si>
    <t>TOI-500 b</t>
  </si>
  <si>
    <t>TOI-4994 b</t>
  </si>
  <si>
    <t>TOI-4961 b</t>
  </si>
  <si>
    <t>TOI-4914 b</t>
  </si>
  <si>
    <t>M3.5 V</t>
  </si>
  <si>
    <t>TOI-4860 b</t>
  </si>
  <si>
    <t>TOI-481 b</t>
  </si>
  <si>
    <t>TOI-480 b</t>
  </si>
  <si>
    <t>TOI-4794 b</t>
  </si>
  <si>
    <t>TOI-4791 b</t>
  </si>
  <si>
    <t>TOI-4773 b</t>
  </si>
  <si>
    <t>TOI-4734 b</t>
  </si>
  <si>
    <t>TOI-470 b</t>
  </si>
  <si>
    <t>TOI-4641 b</t>
  </si>
  <si>
    <t>TOI-4638.01</t>
  </si>
  <si>
    <t>TOI-4633 c</t>
  </si>
  <si>
    <t>TOI-4603 b</t>
  </si>
  <si>
    <t>TOI-4602.01</t>
  </si>
  <si>
    <t>TOI-4600 c</t>
  </si>
  <si>
    <t>TOI-4600 b</t>
  </si>
  <si>
    <t>TOI-4582 b</t>
  </si>
  <si>
    <t>TOI-4559 b</t>
  </si>
  <si>
    <t>TOI-4551 b</t>
  </si>
  <si>
    <t>TOI-4527.01</t>
  </si>
  <si>
    <t>G8/G9</t>
  </si>
  <si>
    <t>TOI-4515 b</t>
  </si>
  <si>
    <t>TOI-451 d</t>
  </si>
  <si>
    <t>TOI-451 c</t>
  </si>
  <si>
    <t>TOI-451 b</t>
  </si>
  <si>
    <t>K1 V</t>
  </si>
  <si>
    <t>TOI-4504 c</t>
  </si>
  <si>
    <t>TOI-4504 b</t>
  </si>
  <si>
    <t>TOI-4495.01</t>
  </si>
  <si>
    <t>TOI-4487 A b</t>
  </si>
  <si>
    <t>TOI-4479 b</t>
  </si>
  <si>
    <t>TOI-4465 b</t>
  </si>
  <si>
    <t>TOI-4463 A b</t>
  </si>
  <si>
    <t>TOI-4443.01</t>
  </si>
  <si>
    <t>K1/2 V</t>
  </si>
  <si>
    <t>TOI-444 b</t>
  </si>
  <si>
    <t>TOI-4438 b</t>
  </si>
  <si>
    <t>TOI-4406 b</t>
  </si>
  <si>
    <t>TOI-4379 b</t>
  </si>
  <si>
    <t>TOI-4377 b</t>
  </si>
  <si>
    <t>TOI-4364 b</t>
  </si>
  <si>
    <t>TOI-4342 c</t>
  </si>
  <si>
    <t>TOI-4342 b</t>
  </si>
  <si>
    <t>TOI-4336 A b</t>
  </si>
  <si>
    <t>TOI-4329 b</t>
  </si>
  <si>
    <t>TOI-431 d</t>
  </si>
  <si>
    <t>TOI-431 b</t>
  </si>
  <si>
    <t>TOI-4308 b</t>
  </si>
  <si>
    <t>TOI-4214 b</t>
  </si>
  <si>
    <t>G9 V</t>
  </si>
  <si>
    <t>TOI-421 c</t>
  </si>
  <si>
    <t>TOI-421 b</t>
  </si>
  <si>
    <t>M1.0+/-0.5</t>
  </si>
  <si>
    <t>TOI-4201 b</t>
  </si>
  <si>
    <t>M5.5+/-0.5</t>
  </si>
  <si>
    <t>TOI-4184 b</t>
  </si>
  <si>
    <t>TOI-4155 b</t>
  </si>
  <si>
    <t>TOI-4153 b</t>
  </si>
  <si>
    <t>TOI-4145 A b</t>
  </si>
  <si>
    <t>TOI-4137 b</t>
  </si>
  <si>
    <t>TOI-4127 b</t>
  </si>
  <si>
    <t>TOI-411 c</t>
  </si>
  <si>
    <t>TOI-411 b</t>
  </si>
  <si>
    <t>TOI-4087 b</t>
  </si>
  <si>
    <t>TOI-406.01</t>
  </si>
  <si>
    <t>TOI-406 c</t>
  </si>
  <si>
    <t>TOI-4010 d</t>
  </si>
  <si>
    <t>TOI-4010 c</t>
  </si>
  <si>
    <t>TOI-4010 b</t>
  </si>
  <si>
    <t>M4+/-0.5</t>
  </si>
  <si>
    <t>TOI-3984 A b</t>
  </si>
  <si>
    <t>TOI-3980 b</t>
  </si>
  <si>
    <t>TOI-3976 A b</t>
  </si>
  <si>
    <t>TOI-3919 b</t>
  </si>
  <si>
    <t>TOI-3912 b</t>
  </si>
  <si>
    <t>TOI-3894 b</t>
  </si>
  <si>
    <t>TOI-3884 b</t>
  </si>
  <si>
    <t>TOI-3877 b</t>
  </si>
  <si>
    <t>TOI-3856 b</t>
  </si>
  <si>
    <t>TOI-3837 b</t>
  </si>
  <si>
    <t>TOI-3819 b</t>
  </si>
  <si>
    <t>TOI-3807 b</t>
  </si>
  <si>
    <t>TOI-3785 b</t>
  </si>
  <si>
    <t>TOI-3757 b</t>
  </si>
  <si>
    <t>M2</t>
  </si>
  <si>
    <t>TOI-3714 b</t>
  </si>
  <si>
    <t>TOI-3693 b</t>
  </si>
  <si>
    <t>TOI-3688 A b</t>
  </si>
  <si>
    <t>TOI-3682 b</t>
  </si>
  <si>
    <t>M1</t>
  </si>
  <si>
    <t>TOI-3629 b</t>
  </si>
  <si>
    <t>TOI-3593 b</t>
  </si>
  <si>
    <t>TOI-3568 b</t>
  </si>
  <si>
    <t>TOI-3540 A b</t>
  </si>
  <si>
    <t>TOI-3523 A b</t>
  </si>
  <si>
    <t>G1/2 V</t>
  </si>
  <si>
    <t>TOI-3493 b</t>
  </si>
  <si>
    <t>TOI-3486 b</t>
  </si>
  <si>
    <t>TOI-3474 b</t>
  </si>
  <si>
    <t>TOI-3464 b</t>
  </si>
  <si>
    <t>TOI-3364 b</t>
  </si>
  <si>
    <t>TOI-3362 b</t>
  </si>
  <si>
    <t>TOI-3353.01</t>
  </si>
  <si>
    <t>TOI-3331 A b</t>
  </si>
  <si>
    <t>TOI-333 b</t>
  </si>
  <si>
    <t>TOI-3321 b</t>
  </si>
  <si>
    <t>TOI-332 b</t>
  </si>
  <si>
    <t>TOI-329 b</t>
  </si>
  <si>
    <t>K1.5+/-1</t>
  </si>
  <si>
    <t>TOI-3261 b</t>
  </si>
  <si>
    <t>TOI-3235 b</t>
  </si>
  <si>
    <t>TOI-3160 A b</t>
  </si>
  <si>
    <t>TOI-3135 b</t>
  </si>
  <si>
    <t>TOI-3082 b</t>
  </si>
  <si>
    <t>TOI-3071 b</t>
  </si>
  <si>
    <t>TOI-3023 b</t>
  </si>
  <si>
    <t>TOI-2992 b</t>
  </si>
  <si>
    <t>TOI-2989 b</t>
  </si>
  <si>
    <t>TOI-2986 b</t>
  </si>
  <si>
    <t>TOI-2981 b</t>
  </si>
  <si>
    <t>TOI-2977 b</t>
  </si>
  <si>
    <t>TOI-2969 b</t>
  </si>
  <si>
    <t>TOI-2886 b</t>
  </si>
  <si>
    <t>TOI-2876 b</t>
  </si>
  <si>
    <t>TOI-286 c</t>
  </si>
  <si>
    <t>TOI-286 b</t>
  </si>
  <si>
    <t>TOI-2842 b</t>
  </si>
  <si>
    <t>TOI-283 b</t>
  </si>
  <si>
    <t>TOI-2818 b</t>
  </si>
  <si>
    <t>TOI-2803 A b</t>
  </si>
  <si>
    <t>TOI-2796 b</t>
  </si>
  <si>
    <t>TOI-277 b</t>
  </si>
  <si>
    <t>TOI-2768 b</t>
  </si>
  <si>
    <t>TOI-2719 b</t>
  </si>
  <si>
    <t>TOI-2714 b</t>
  </si>
  <si>
    <t>TOI-270 d</t>
  </si>
  <si>
    <t>TOI-270 c</t>
  </si>
  <si>
    <t>TOI-270 b</t>
  </si>
  <si>
    <t>TOI-269 b</t>
  </si>
  <si>
    <t>TOI-2669 b</t>
  </si>
  <si>
    <t>F9 V</t>
  </si>
  <si>
    <t>TOI-2641 b</t>
  </si>
  <si>
    <t>TOI-262 b</t>
  </si>
  <si>
    <t>TOI-261.01</t>
  </si>
  <si>
    <t>K8 V</t>
  </si>
  <si>
    <t>TOI-260 b</t>
  </si>
  <si>
    <t>TOI-2589 b</t>
  </si>
  <si>
    <t>TOI-2587 A b</t>
  </si>
  <si>
    <t>TOI-2583 A b</t>
  </si>
  <si>
    <t>TOI-2580 b</t>
  </si>
  <si>
    <t>TOI-2570 b</t>
  </si>
  <si>
    <t>TOI-257 b</t>
  </si>
  <si>
    <t>TOI-2567 b</t>
  </si>
  <si>
    <t>TOI-2545 b</t>
  </si>
  <si>
    <t>TOI-2537 b</t>
  </si>
  <si>
    <t>TOI-2529 b</t>
  </si>
  <si>
    <t>TOI-2525 c</t>
  </si>
  <si>
    <t>TOI-2525 b</t>
  </si>
  <si>
    <t>TOI-2524 b</t>
  </si>
  <si>
    <t>TOI-251 b</t>
  </si>
  <si>
    <t>TOI-2498 b</t>
  </si>
  <si>
    <t>TOI-2497 b</t>
  </si>
  <si>
    <t>TOI-2459 b</t>
  </si>
  <si>
    <t>F9-F9.5</t>
  </si>
  <si>
    <t>TOI-2458 b</t>
  </si>
  <si>
    <t>TOI-2449 b</t>
  </si>
  <si>
    <t>TOI-2447 b</t>
  </si>
  <si>
    <t>TOI-2445 b</t>
  </si>
  <si>
    <t>K5 V</t>
  </si>
  <si>
    <t>TOI-2443 b</t>
  </si>
  <si>
    <t>TOI-244 b</t>
  </si>
  <si>
    <t>TOI-2427 b</t>
  </si>
  <si>
    <t>TOI-2421 b</t>
  </si>
  <si>
    <t>TOI-2416 b</t>
  </si>
  <si>
    <t>TOI-2411 b</t>
  </si>
  <si>
    <t>TOI-2407 b</t>
  </si>
  <si>
    <t>TOI-2406 b</t>
  </si>
  <si>
    <t>TOI-2384 b</t>
  </si>
  <si>
    <t>TOI-2382 b</t>
  </si>
  <si>
    <t>K2 V</t>
  </si>
  <si>
    <t>TOI-238 b</t>
  </si>
  <si>
    <t>TOI-2379 b</t>
  </si>
  <si>
    <t>TOI-2374 b</t>
  </si>
  <si>
    <t>TOI-2373 b</t>
  </si>
  <si>
    <t>M4.5 V</t>
  </si>
  <si>
    <t>TOI-237 b</t>
  </si>
  <si>
    <t>TOI-2368 b</t>
  </si>
  <si>
    <t>TOI-2364 b</t>
  </si>
  <si>
    <t>TOI-2346 b</t>
  </si>
  <si>
    <t>TOI-2345 c</t>
  </si>
  <si>
    <t>TOI-2345 b</t>
  </si>
  <si>
    <t>TOI-2338 b</t>
  </si>
  <si>
    <t>TOI-2337 b</t>
  </si>
  <si>
    <t>TOI-2328 b</t>
  </si>
  <si>
    <t>K4</t>
  </si>
  <si>
    <t>TOI-2322 c</t>
  </si>
  <si>
    <t>TOI-2322 b</t>
  </si>
  <si>
    <t>TOI-2295 b</t>
  </si>
  <si>
    <t>TOI-2285 b</t>
  </si>
  <si>
    <t>TOI-2274 b</t>
  </si>
  <si>
    <t>M5.0+0.5-0.5</t>
  </si>
  <si>
    <t>TOI-2266 b</t>
  </si>
  <si>
    <t>TOI-2260 b</t>
  </si>
  <si>
    <t>TOI-2257 b</t>
  </si>
  <si>
    <t>TOI-2236 b</t>
  </si>
  <si>
    <t>TOI-2211.01</t>
  </si>
  <si>
    <t>TOI-2207 b</t>
  </si>
  <si>
    <t>TOI-2202 b</t>
  </si>
  <si>
    <t>TOI-220 b</t>
  </si>
  <si>
    <t>TOI-2196 b</t>
  </si>
  <si>
    <t>TOI-2194 b</t>
  </si>
  <si>
    <t>TOI-2193 A b</t>
  </si>
  <si>
    <t>TOI-2184 b</t>
  </si>
  <si>
    <t>G5</t>
  </si>
  <si>
    <t>TOI-2180 b</t>
  </si>
  <si>
    <t>TOI-2169 A b</t>
  </si>
  <si>
    <t>TOI-2158 b</t>
  </si>
  <si>
    <t>TOI-2154 b</t>
  </si>
  <si>
    <t>F4 V</t>
  </si>
  <si>
    <t>TOI-2152 A b</t>
  </si>
  <si>
    <t>TOI-2145 b</t>
  </si>
  <si>
    <t>TOI-2141 b</t>
  </si>
  <si>
    <t>TOI-2136 b</t>
  </si>
  <si>
    <t>TOI-2134 c</t>
  </si>
  <si>
    <t>TOI-2134 b</t>
  </si>
  <si>
    <t>TOI-2128 b</t>
  </si>
  <si>
    <t>TOI-2120 b</t>
  </si>
  <si>
    <t>TOI-2109 b</t>
  </si>
  <si>
    <t>TOI-2107 b</t>
  </si>
  <si>
    <t>TOI-2096 c</t>
  </si>
  <si>
    <t>TOI-2096 b</t>
  </si>
  <si>
    <t>TOI-2095 c</t>
  </si>
  <si>
    <t>TOI-2095 b</t>
  </si>
  <si>
    <t>TOI-2093 c</t>
  </si>
  <si>
    <t>TOI-2088 b</t>
  </si>
  <si>
    <t>M2+/-0.5</t>
  </si>
  <si>
    <t>TOI-2084 b</t>
  </si>
  <si>
    <t>M1.0</t>
  </si>
  <si>
    <t>TOI-2081 b</t>
  </si>
  <si>
    <t>TOI-2076 e</t>
  </si>
  <si>
    <t>TOI-2076 d</t>
  </si>
  <si>
    <t>TOI-2076 c</t>
  </si>
  <si>
    <t>TOI-2076 b</t>
  </si>
  <si>
    <t>TOI-2068 b</t>
  </si>
  <si>
    <t>TOI-206 b</t>
  </si>
  <si>
    <t>TOI-2048 b</t>
  </si>
  <si>
    <t>TOI-2046 b</t>
  </si>
  <si>
    <t>TOI-2031 A b</t>
  </si>
  <si>
    <t>TOI-2025 b</t>
  </si>
  <si>
    <t>TOI-2019 b</t>
  </si>
  <si>
    <t>TOI-2018 b</t>
  </si>
  <si>
    <t>M4 +/- 0.5</t>
  </si>
  <si>
    <t>TOI-2015 b</t>
  </si>
  <si>
    <t>F0</t>
  </si>
  <si>
    <t>TOI-2010 b</t>
  </si>
  <si>
    <t>TOI-2005 b</t>
  </si>
  <si>
    <t>TOI-2000 c</t>
  </si>
  <si>
    <t>TOI-2000 b</t>
  </si>
  <si>
    <t>TOI-1994 b</t>
  </si>
  <si>
    <t>TOI-199 b</t>
  </si>
  <si>
    <t>TOI-198 b</t>
  </si>
  <si>
    <t>TOI-1937 A b</t>
  </si>
  <si>
    <t>TOI-1899 b</t>
  </si>
  <si>
    <t>TOI-1898 b</t>
  </si>
  <si>
    <t>TOI-1883 b</t>
  </si>
  <si>
    <t>TOI-1860 b</t>
  </si>
  <si>
    <t>TOI-1859 b</t>
  </si>
  <si>
    <t>TOI-1855 b</t>
  </si>
  <si>
    <t>K2.5 V</t>
  </si>
  <si>
    <t>TOI-1853 b</t>
  </si>
  <si>
    <t>TOI-1846 b</t>
  </si>
  <si>
    <t>TOI-1842 b</t>
  </si>
  <si>
    <t>TOI-1836 c</t>
  </si>
  <si>
    <t>TOI-1836 b</t>
  </si>
  <si>
    <t>TOI-1824 b</t>
  </si>
  <si>
    <t>TOI-1823 b</t>
  </si>
  <si>
    <t>TOI-1820 b</t>
  </si>
  <si>
    <t>TOI-1811 b</t>
  </si>
  <si>
    <t>TOI-181 b</t>
  </si>
  <si>
    <t>TOI-1807 b</t>
  </si>
  <si>
    <t>TOI-1806.01</t>
  </si>
  <si>
    <t>TOI-1803 c</t>
  </si>
  <si>
    <t>TOI-1803 b</t>
  </si>
  <si>
    <t>M0.5+/-0.5 V</t>
  </si>
  <si>
    <t>TOI-1801 b</t>
  </si>
  <si>
    <t>TOI-1799 b</t>
  </si>
  <si>
    <t>TOI-1798.02</t>
  </si>
  <si>
    <t>TOI-1798.01</t>
  </si>
  <si>
    <t>TOI-1794 b</t>
  </si>
  <si>
    <t>TOI-1789 b</t>
  </si>
  <si>
    <t>TOI-1782.02</t>
  </si>
  <si>
    <t>TOI-1782.01</t>
  </si>
  <si>
    <t>TOI-178 g</t>
  </si>
  <si>
    <t>TOI-178 e</t>
  </si>
  <si>
    <t>TOI-178 d</t>
  </si>
  <si>
    <t>TOI-178 c</t>
  </si>
  <si>
    <t>TOI-178 b</t>
  </si>
  <si>
    <t>TOI-1777.01</t>
  </si>
  <si>
    <t>TOI-1776 b</t>
  </si>
  <si>
    <t>TOI-1775 b</t>
  </si>
  <si>
    <t>TOI-1772.01</t>
  </si>
  <si>
    <t>TOI-1768.01</t>
  </si>
  <si>
    <t>M0.0 V</t>
  </si>
  <si>
    <t>TOI-1759 b</t>
  </si>
  <si>
    <t>TOI-1758 b</t>
  </si>
  <si>
    <t>TOI-1753 b</t>
  </si>
  <si>
    <t>TOI-1751 b</t>
  </si>
  <si>
    <t>TOI-1749 d</t>
  </si>
  <si>
    <t>TOI-1749 c</t>
  </si>
  <si>
    <t>TOI-1749 b</t>
  </si>
  <si>
    <t>TOI-1744.01</t>
  </si>
  <si>
    <t>TOI-1743 b</t>
  </si>
  <si>
    <t>TOI-1742 b</t>
  </si>
  <si>
    <t>TOI-1739 b</t>
  </si>
  <si>
    <t>TOI-1736 b</t>
  </si>
  <si>
    <t>M0</t>
  </si>
  <si>
    <t>TOI-1728 b</t>
  </si>
  <si>
    <t>TOI-1723 b</t>
  </si>
  <si>
    <t>TOI-172 b</t>
  </si>
  <si>
    <t>TOI-1716.01</t>
  </si>
  <si>
    <t>TOI-1710 b</t>
  </si>
  <si>
    <t>M5V</t>
  </si>
  <si>
    <t>TOI-1696 b</t>
  </si>
  <si>
    <t>TOI-1695 b</t>
  </si>
  <si>
    <t>TOI-1694 b</t>
  </si>
  <si>
    <t>TOI-1693 b</t>
  </si>
  <si>
    <t>TOI-1691 b</t>
  </si>
  <si>
    <t>G1 V</t>
  </si>
  <si>
    <t>TOI-169 b</t>
  </si>
  <si>
    <t>M3 V</t>
  </si>
  <si>
    <t>TOI-1685 b</t>
  </si>
  <si>
    <t>TOI-1683.01</t>
  </si>
  <si>
    <t>M4.5+/-0.5</t>
  </si>
  <si>
    <t>TOI-1680 b</t>
  </si>
  <si>
    <t>F7 V</t>
  </si>
  <si>
    <t>TOI-1670 c</t>
  </si>
  <si>
    <t>TOI-1670 b</t>
  </si>
  <si>
    <t>TOI-1669 c</t>
  </si>
  <si>
    <t>TOI-1659.01</t>
  </si>
  <si>
    <t>TOI-1648 b</t>
  </si>
  <si>
    <t>TOI-1634 b</t>
  </si>
  <si>
    <t>TOI-1630.01</t>
  </si>
  <si>
    <t>TOI-163 b</t>
  </si>
  <si>
    <t>TOI-1601 b</t>
  </si>
  <si>
    <t>G9 IV</t>
  </si>
  <si>
    <t>TOI-157 b</t>
  </si>
  <si>
    <t>TOI-1516 b</t>
  </si>
  <si>
    <t>TOI-150.01</t>
  </si>
  <si>
    <t>TOI-1472 b</t>
  </si>
  <si>
    <t>M1.5 V</t>
  </si>
  <si>
    <t>TOI-1470 c</t>
  </si>
  <si>
    <t>TOI-1470 b</t>
  </si>
  <si>
    <t>TOI-1468 c</t>
  </si>
  <si>
    <t>TOI-1468 b</t>
  </si>
  <si>
    <t>TOI-1467 b</t>
  </si>
  <si>
    <t>TOI-1453 c</t>
  </si>
  <si>
    <t>TOI-1453 b</t>
  </si>
  <si>
    <t>M4 +/- 0.5 V</t>
  </si>
  <si>
    <t>TOI-1452 b</t>
  </si>
  <si>
    <t>TOI-1451 b</t>
  </si>
  <si>
    <t>M3.0 V</t>
  </si>
  <si>
    <t>TOI-1450 A b</t>
  </si>
  <si>
    <t>TOI-1448 b</t>
  </si>
  <si>
    <t>TOI-1444 b</t>
  </si>
  <si>
    <t>TOI-1443 b</t>
  </si>
  <si>
    <t>TOI-1442 b</t>
  </si>
  <si>
    <t>TOI-1439 b</t>
  </si>
  <si>
    <t>TOI-1438 c</t>
  </si>
  <si>
    <t>TOI-1438 b</t>
  </si>
  <si>
    <t>TOI-1437 b</t>
  </si>
  <si>
    <t>Am C</t>
  </si>
  <si>
    <t>TOI-1431 b</t>
  </si>
  <si>
    <t>TOI-1420 b</t>
  </si>
  <si>
    <t>TOI-1416 b</t>
  </si>
  <si>
    <t>TOI-1411 b</t>
  </si>
  <si>
    <t>TOI-1410.01</t>
  </si>
  <si>
    <t>TOI-1408 c</t>
  </si>
  <si>
    <t>TOI-1408 b</t>
  </si>
  <si>
    <t>TOI-139 b</t>
  </si>
  <si>
    <t>TOI-1386 b</t>
  </si>
  <si>
    <t>TOI-1347 c</t>
  </si>
  <si>
    <t>TOI-1347 b</t>
  </si>
  <si>
    <t>TOI-1346 c</t>
  </si>
  <si>
    <t>TOI-1346 b</t>
  </si>
  <si>
    <t>TOI-1333 b</t>
  </si>
  <si>
    <t>G8 V</t>
  </si>
  <si>
    <t>TOI-132 b</t>
  </si>
  <si>
    <t>TOI-1301.01</t>
  </si>
  <si>
    <t>TOI-1298 b</t>
  </si>
  <si>
    <t>TOI-1296 b</t>
  </si>
  <si>
    <t>TOI-1295 b</t>
  </si>
  <si>
    <t>TOI-1294 b</t>
  </si>
  <si>
    <t>TOI-1288 b</t>
  </si>
  <si>
    <t>TOI-128.01</t>
  </si>
  <si>
    <t>TOI-1279 b</t>
  </si>
  <si>
    <t>TOI-1278 b</t>
  </si>
  <si>
    <t>TOI-1273 b</t>
  </si>
  <si>
    <t>TOI-1272 b</t>
  </si>
  <si>
    <t>TOI-1269 b</t>
  </si>
  <si>
    <t>K1-K2</t>
  </si>
  <si>
    <t>TOI-1268 b</t>
  </si>
  <si>
    <t>TOI-1266 d</t>
  </si>
  <si>
    <t>TOI-1266 c</t>
  </si>
  <si>
    <t>TOI-1266 b</t>
  </si>
  <si>
    <t>TOI-1260 d</t>
  </si>
  <si>
    <t>TOI-1260 c</t>
  </si>
  <si>
    <t>TOI-1260 b</t>
  </si>
  <si>
    <t>TOI-1259 A b</t>
  </si>
  <si>
    <t>TOI-125 d</t>
  </si>
  <si>
    <t>TOI-125 c</t>
  </si>
  <si>
    <t>TOI-125 b</t>
  </si>
  <si>
    <t>TOI-1249 b</t>
  </si>
  <si>
    <t>TOI-1248 b</t>
  </si>
  <si>
    <t>TOI-1246 e</t>
  </si>
  <si>
    <t>TOI-1246 d</t>
  </si>
  <si>
    <t>TOI-1246 c</t>
  </si>
  <si>
    <t>TOI-1246 b</t>
  </si>
  <si>
    <t>TOI-1244 b</t>
  </si>
  <si>
    <t>K7/M0</t>
  </si>
  <si>
    <t>TOI-1238 c</t>
  </si>
  <si>
    <t>TOI-1238 b</t>
  </si>
  <si>
    <t>TOI-1235 b</t>
  </si>
  <si>
    <t>TOI-1231 b</t>
  </si>
  <si>
    <t>M4.5V-M5V</t>
  </si>
  <si>
    <t>TOI-1227 b</t>
  </si>
  <si>
    <t>TOI-1224 c</t>
  </si>
  <si>
    <t>TOI-1224 b</t>
  </si>
  <si>
    <t>TOI-1221 b</t>
  </si>
  <si>
    <t>TOI-122 b</t>
  </si>
  <si>
    <t>TOI-1203 d</t>
  </si>
  <si>
    <t>M2.0 V</t>
  </si>
  <si>
    <t>TOI-1201 b</t>
  </si>
  <si>
    <t>TOI-1199 b</t>
  </si>
  <si>
    <t>TOI-1194 b</t>
  </si>
  <si>
    <t>TOI-1184 b</t>
  </si>
  <si>
    <t>TOI-1181 b</t>
  </si>
  <si>
    <t>TOI-1180 b</t>
  </si>
  <si>
    <t>TOI-1174 b</t>
  </si>
  <si>
    <t>G9</t>
  </si>
  <si>
    <t>TOI-1173 b</t>
  </si>
  <si>
    <t>TOI-1136 g</t>
  </si>
  <si>
    <t>TOI-1136 f</t>
  </si>
  <si>
    <t>TOI-1136 e</t>
  </si>
  <si>
    <t>TOI-1136 d</t>
  </si>
  <si>
    <t>TOI-1136 c</t>
  </si>
  <si>
    <t>TOI-1136 b</t>
  </si>
  <si>
    <t>TOI-1135 b</t>
  </si>
  <si>
    <t>TOI-1130 c</t>
  </si>
  <si>
    <t>TOI-1130 b</t>
  </si>
  <si>
    <t>G5 V</t>
  </si>
  <si>
    <t>TOI-1117 b</t>
  </si>
  <si>
    <t>TOI-1107 b</t>
  </si>
  <si>
    <t>K9 V/M0 V</t>
  </si>
  <si>
    <t>TOI-1075 b</t>
  </si>
  <si>
    <t>TOI-1064 c</t>
  </si>
  <si>
    <t>TOI-1064 b</t>
  </si>
  <si>
    <t>TOI-1062 b</t>
  </si>
  <si>
    <t>TOI-1052 b</t>
  </si>
  <si>
    <t>TOI-1011 b</t>
  </si>
  <si>
    <t>K7 V</t>
  </si>
  <si>
    <t>TIC 88785435 b</t>
  </si>
  <si>
    <t>TIC 4672985 b</t>
  </si>
  <si>
    <t>TIC 46432937 b</t>
  </si>
  <si>
    <t>G4 V</t>
  </si>
  <si>
    <t>TIC 434398831 c</t>
  </si>
  <si>
    <t>TIC 434398831 b</t>
  </si>
  <si>
    <t>TIC 393818343 b</t>
  </si>
  <si>
    <t>TIC 365102760 b</t>
  </si>
  <si>
    <t>TIC 279401253 b</t>
  </si>
  <si>
    <t>TIC 257060897 b</t>
  </si>
  <si>
    <t>TIC 241249530 b</t>
  </si>
  <si>
    <t>TIC 237913194 b</t>
  </si>
  <si>
    <t>F9</t>
  </si>
  <si>
    <t>TIC 172900988 b</t>
  </si>
  <si>
    <t>G2</t>
  </si>
  <si>
    <t>TIC 139270665 b</t>
  </si>
  <si>
    <t>Ross 176 b</t>
  </si>
  <si>
    <t>NGTS-33 b</t>
  </si>
  <si>
    <t>NGTS-31 b</t>
  </si>
  <si>
    <t>NGTS-30 b</t>
  </si>
  <si>
    <t>NGTS-27 b</t>
  </si>
  <si>
    <t>G1 IV</t>
  </si>
  <si>
    <t>NGTS-20 b</t>
  </si>
  <si>
    <t>NGTS-11 b</t>
  </si>
  <si>
    <t>LTT 9779 b</t>
  </si>
  <si>
    <t>LTT 3780 c</t>
  </si>
  <si>
    <t>LTT 3780 b</t>
  </si>
  <si>
    <t>LTT 1445 A c</t>
  </si>
  <si>
    <t>M6 V</t>
  </si>
  <si>
    <t>LP 890-9 b</t>
  </si>
  <si>
    <t>M(6.1 +/- 0.7) V</t>
  </si>
  <si>
    <t>LP 791-18 c</t>
  </si>
  <si>
    <t>LP 791-18 b</t>
  </si>
  <si>
    <t>LP 714-47 b</t>
  </si>
  <si>
    <t>LHS 475 b</t>
  </si>
  <si>
    <t>M5</t>
  </si>
  <si>
    <t>LHS 3844 b</t>
  </si>
  <si>
    <t>LHS 1815 b</t>
  </si>
  <si>
    <t>LHS 1678 d</t>
  </si>
  <si>
    <t>LHS 1678 c</t>
  </si>
  <si>
    <t>LHS 1678 b</t>
  </si>
  <si>
    <t>m3 V</t>
  </si>
  <si>
    <t>LHS 1478 b</t>
  </si>
  <si>
    <t>L 98-59 d</t>
  </si>
  <si>
    <t>L 98-59 c</t>
  </si>
  <si>
    <t>L 98-59 b</t>
  </si>
  <si>
    <t>L 168-9 b</t>
  </si>
  <si>
    <t>IRAS 04125+2902 b</t>
  </si>
  <si>
    <t>HR 858 d</t>
  </si>
  <si>
    <t>HR 858 c</t>
  </si>
  <si>
    <t>HR 858 b</t>
  </si>
  <si>
    <t>HIP 97166 b</t>
  </si>
  <si>
    <t>HIP 9618 c</t>
  </si>
  <si>
    <t>HIP 9618 b</t>
  </si>
  <si>
    <t>HIP 94235 b</t>
  </si>
  <si>
    <t>HIP 8152 c</t>
  </si>
  <si>
    <t>HIP 8152 b</t>
  </si>
  <si>
    <t>HIP 67522 c</t>
  </si>
  <si>
    <t>HIP 67522 b</t>
  </si>
  <si>
    <t>HIP 65 A b</t>
  </si>
  <si>
    <t>HIP 113103 c</t>
  </si>
  <si>
    <t>HIP 113103 b</t>
  </si>
  <si>
    <t>HD 93963 A c</t>
  </si>
  <si>
    <t>HD 93963 A b</t>
  </si>
  <si>
    <t>HD 86226 c</t>
  </si>
  <si>
    <t>HD 77946 b</t>
  </si>
  <si>
    <t>HD 73583 c</t>
  </si>
  <si>
    <t>HD 73583 b</t>
  </si>
  <si>
    <t>HD 63935 b</t>
  </si>
  <si>
    <t>HD 63433 d</t>
  </si>
  <si>
    <t>HD 63433 c</t>
  </si>
  <si>
    <t>HD 63433 b</t>
  </si>
  <si>
    <t>HD 6061 b</t>
  </si>
  <si>
    <t>HD 56414 b</t>
  </si>
  <si>
    <t>HD 5278 b</t>
  </si>
  <si>
    <t>HD 42813 b</t>
  </si>
  <si>
    <t>HD 35843 c</t>
  </si>
  <si>
    <t>HD 332231 b</t>
  </si>
  <si>
    <t>HD 28109 d</t>
  </si>
  <si>
    <t>HD 28109 c</t>
  </si>
  <si>
    <t>HD 28109 b</t>
  </si>
  <si>
    <t>HD 2685 b</t>
  </si>
  <si>
    <t>HD 260655 c</t>
  </si>
  <si>
    <t>HD 260655 b</t>
  </si>
  <si>
    <t>HD 25463 c</t>
  </si>
  <si>
    <t>HD 25463 b</t>
  </si>
  <si>
    <t>HD 235088 b</t>
  </si>
  <si>
    <t>HD 23472 f</t>
  </si>
  <si>
    <t>HD 23472 e</t>
  </si>
  <si>
    <t>HD 23472 d</t>
  </si>
  <si>
    <t>HD 23472 c</t>
  </si>
  <si>
    <t>HD 23472 b</t>
  </si>
  <si>
    <t>HD 22946 d</t>
  </si>
  <si>
    <t>HD 221416 b</t>
  </si>
  <si>
    <t>HD 219666 b</t>
  </si>
  <si>
    <t>K4.5</t>
  </si>
  <si>
    <t>HD 21749 c</t>
  </si>
  <si>
    <t>HD 21520 b</t>
  </si>
  <si>
    <t>HD 213885 b</t>
  </si>
  <si>
    <t>HD 207897 b</t>
  </si>
  <si>
    <t>HD 207496 b</t>
  </si>
  <si>
    <t>HD 20329 b</t>
  </si>
  <si>
    <t>HD 202772 A b</t>
  </si>
  <si>
    <t>HD 191939 d</t>
  </si>
  <si>
    <t>HD 191939 c</t>
  </si>
  <si>
    <t>HD 191939 b</t>
  </si>
  <si>
    <t>HD 18599 b</t>
  </si>
  <si>
    <t>HD 183579 b</t>
  </si>
  <si>
    <t>HD 15906 c</t>
  </si>
  <si>
    <t>HD 15906 b</t>
  </si>
  <si>
    <t>HD 15337 c</t>
  </si>
  <si>
    <t>HD 15337 b</t>
  </si>
  <si>
    <t>HD 152843 c</t>
  </si>
  <si>
    <t>HD 152843 b</t>
  </si>
  <si>
    <t>HD 1397 b</t>
  </si>
  <si>
    <t>HD 135694 b</t>
  </si>
  <si>
    <t>HD 110113 b</t>
  </si>
  <si>
    <t>HD 110082 b</t>
  </si>
  <si>
    <t>HD 109833 c</t>
  </si>
  <si>
    <t>HD 109833 b</t>
  </si>
  <si>
    <t>HD 108236 e</t>
  </si>
  <si>
    <t>HD 108236 d</t>
  </si>
  <si>
    <t>HD 108236 c</t>
  </si>
  <si>
    <t>HD 108236 b</t>
  </si>
  <si>
    <t>HD 101581 c</t>
  </si>
  <si>
    <t>HD 101581 b</t>
  </si>
  <si>
    <t>Gliese 12 b</t>
  </si>
  <si>
    <t>GJ 806 b</t>
  </si>
  <si>
    <t>GJ 3929 b</t>
  </si>
  <si>
    <t>M1.0 V</t>
  </si>
  <si>
    <t>GJ 367 b</t>
  </si>
  <si>
    <t>GJ 357 b</t>
  </si>
  <si>
    <t>GJ 3473 b</t>
  </si>
  <si>
    <t>GJ 341 b</t>
  </si>
  <si>
    <t>GJ 3090 b</t>
  </si>
  <si>
    <t>GJ 238 b</t>
  </si>
  <si>
    <t>GJ 143 b</t>
  </si>
  <si>
    <t>GJ 1252 b</t>
  </si>
  <si>
    <t>G6 V</t>
  </si>
  <si>
    <t>DS Tuc A b</t>
  </si>
  <si>
    <t>BD-14 3065 b</t>
  </si>
  <si>
    <t>BD+05 4868 A b</t>
  </si>
  <si>
    <t>AU Mic c</t>
  </si>
  <si>
    <t>AU Mic b</t>
  </si>
  <si>
    <t>Star_Temp_Scaled</t>
  </si>
  <si>
    <t>Orbit_Scaled</t>
  </si>
  <si>
    <t>Temperature_Scaled</t>
  </si>
  <si>
    <t>Planet_Density_Scaled</t>
  </si>
  <si>
    <t>Planet_Mass_Scaled</t>
  </si>
  <si>
    <t>Planet_Radius_Scaled</t>
  </si>
  <si>
    <t>Star_F</t>
  </si>
  <si>
    <t>tar_M</t>
  </si>
  <si>
    <t>Star_K</t>
  </si>
  <si>
    <t>Star_G</t>
  </si>
  <si>
    <t>Star type clean</t>
  </si>
  <si>
    <t>Average</t>
  </si>
  <si>
    <t>Host Sar Score</t>
  </si>
  <si>
    <t>Semi Major Axis Score</t>
  </si>
  <si>
    <t>Temperature Score</t>
  </si>
  <si>
    <t>Planet Density Score</t>
  </si>
  <si>
    <t>Planet Mass Score</t>
  </si>
  <si>
    <t>Planet Size Score</t>
  </si>
  <si>
    <t>Star Type</t>
  </si>
  <si>
    <t>Star Metallicity</t>
  </si>
  <si>
    <t>Star Luminosity</t>
  </si>
  <si>
    <t>Host Star Tempertaure</t>
  </si>
  <si>
    <t>Planet Density</t>
  </si>
  <si>
    <t>Equilibrium Temperature</t>
  </si>
  <si>
    <t>Semimajor Axis</t>
  </si>
  <si>
    <t>Orbital Period</t>
  </si>
  <si>
    <t>Planet Mass</t>
  </si>
  <si>
    <t>Planet Radius</t>
  </si>
  <si>
    <t>Planet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</si>
</sst>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F817-1B40-4C26-8B67-DBE408F0F59D}">
  <dimension ref="A1:AC694"/>
  <sheetViews>
    <sheetView tabSelected="1" workbookViewId="0">
      <selection activeCell="H4" sqref="H4"/>
    </sheetView>
  </sheetViews>
  <sheetFormatPr defaultRowHeight="14.4" x14ac:dyDescent="0.3"/>
  <cols>
    <col min="1" max="1" width="19.109375" customWidth="1"/>
    <col min="2" max="2" width="11.88671875" customWidth="1"/>
    <col min="3" max="4" width="12.109375" customWidth="1"/>
    <col min="5" max="5" width="14.109375" customWidth="1"/>
    <col min="6" max="6" width="21" customWidth="1"/>
    <col min="7" max="7" width="13.88671875" customWidth="1"/>
    <col min="8" max="8" width="19" customWidth="1"/>
    <col min="9" max="9" width="15.109375" customWidth="1"/>
    <col min="10" max="10" width="14.77734375" customWidth="1"/>
    <col min="12" max="12" width="14.6640625" customWidth="1"/>
    <col min="13" max="13" width="15.6640625" customWidth="1"/>
    <col min="14" max="14" width="17.6640625" customWidth="1"/>
    <col min="15" max="15" width="16.88671875" customWidth="1"/>
    <col min="16" max="16" width="18.77734375" customWidth="1"/>
    <col min="19" max="19" width="12.5546875" customWidth="1"/>
    <col min="24" max="24" width="19.44140625" customWidth="1"/>
    <col min="25" max="25" width="18.109375" customWidth="1"/>
    <col min="26" max="26" width="19.6640625" customWidth="1"/>
    <col min="27" max="27" width="17.44140625" customWidth="1"/>
    <col min="28" max="28" width="13" customWidth="1"/>
    <col min="29" max="29" width="16" customWidth="1"/>
  </cols>
  <sheetData>
    <row r="1" spans="1:29" x14ac:dyDescent="0.3">
      <c r="A1" t="s">
        <v>824</v>
      </c>
      <c r="B1" t="s">
        <v>823</v>
      </c>
      <c r="C1" t="s">
        <v>822</v>
      </c>
      <c r="D1" t="s">
        <v>821</v>
      </c>
      <c r="E1" t="s">
        <v>820</v>
      </c>
      <c r="F1" t="s">
        <v>819</v>
      </c>
      <c r="G1" t="s">
        <v>818</v>
      </c>
      <c r="H1" t="s">
        <v>817</v>
      </c>
      <c r="I1" t="s">
        <v>816</v>
      </c>
      <c r="J1" t="s">
        <v>815</v>
      </c>
      <c r="K1" t="s">
        <v>814</v>
      </c>
      <c r="L1" t="s">
        <v>813</v>
      </c>
      <c r="M1" t="s">
        <v>812</v>
      </c>
      <c r="N1" t="s">
        <v>811</v>
      </c>
      <c r="O1" t="s">
        <v>810</v>
      </c>
      <c r="P1" t="s">
        <v>809</v>
      </c>
      <c r="Q1" t="s">
        <v>808</v>
      </c>
      <c r="R1" t="s">
        <v>807</v>
      </c>
      <c r="S1" t="s">
        <v>806</v>
      </c>
      <c r="T1" t="s">
        <v>805</v>
      </c>
      <c r="U1" t="s">
        <v>804</v>
      </c>
      <c r="V1" t="s">
        <v>803</v>
      </c>
      <c r="W1" t="s">
        <v>802</v>
      </c>
      <c r="X1" t="s">
        <v>801</v>
      </c>
      <c r="Y1" t="s">
        <v>800</v>
      </c>
      <c r="Z1" t="s">
        <v>799</v>
      </c>
      <c r="AA1" t="s">
        <v>798</v>
      </c>
      <c r="AB1" t="s">
        <v>797</v>
      </c>
      <c r="AC1" t="s">
        <v>796</v>
      </c>
    </row>
    <row r="2" spans="1:29" x14ac:dyDescent="0.3">
      <c r="A2" t="s">
        <v>795</v>
      </c>
      <c r="B2">
        <v>3.9567701899999999</v>
      </c>
      <c r="D2">
        <v>8.4630799999999997</v>
      </c>
      <c r="E2">
        <v>6.4899999999999999E-2</v>
      </c>
      <c r="F2">
        <v>600</v>
      </c>
      <c r="G2" t="str">
        <f>IF(OR(C2="",B2="",B2=0),"",5.51*(C2/(B2^3)))</f>
        <v/>
      </c>
      <c r="H2">
        <v>3678</v>
      </c>
      <c r="I2">
        <v>9.0882992933393109E-2</v>
      </c>
      <c r="J2">
        <v>0.23</v>
      </c>
      <c r="L2">
        <f>IF(AND(B2&gt;=0.8,B2&lt;=1.5),1,IF(AND(B2&gt;=0.5,B2&lt;=2),0.5,0))</f>
        <v>0</v>
      </c>
      <c r="M2">
        <f>IF(AND(C2&gt;=0.5,C2&lt;=2),1,IF(AND(C2&gt;=0.1,C2&lt;=5),0.5,0))</f>
        <v>0</v>
      </c>
      <c r="N2">
        <f>IF(AND(G2&gt;=4,G2&lt;=7),1,IF(AND(G2&gt;=3,G2&lt;=8),0.5,0))</f>
        <v>0</v>
      </c>
      <c r="O2">
        <f>IF(AND(F2&gt;=270,F2&lt;=310),1,IF(AND(F2&gt;=250,F2&lt;=330),0.5,0))</f>
        <v>0</v>
      </c>
      <c r="P2">
        <f>IF(AND(E2&gt;=0.8,E2&lt;=1.5),1,IF(AND(E2&gt;=0.5,E2&lt;=2),0.5,0))</f>
        <v>0</v>
      </c>
      <c r="Q2">
        <f>IF(AND(H2&gt;=5000,H2&lt;=6000),1,IF(AND(H2&gt;=4000,H2&lt;5000),0.5,0))</f>
        <v>0</v>
      </c>
      <c r="R2">
        <f>0.35*AVERAGE(L2:M2:N2)+0.3*O2+0.2*P2+0.15*Q2</f>
        <v>0</v>
      </c>
      <c r="S2" t="str">
        <f>LEFT(K2,1)</f>
        <v/>
      </c>
      <c r="T2">
        <f>IF(S2="G",1,0)</f>
        <v>0</v>
      </c>
      <c r="U2">
        <f>IF(S2="K",1,0)</f>
        <v>0</v>
      </c>
      <c r="V2">
        <f>IF(S2="M",1,0)</f>
        <v>0</v>
      </c>
      <c r="W2">
        <f>IF(S2="F",1,0)</f>
        <v>0</v>
      </c>
      <c r="X2">
        <f>MIN(B2:B1001)</f>
        <v>0.56599999999999995</v>
      </c>
      <c r="Y2">
        <f>MIN(C2:C1001)</f>
        <v>0.46</v>
      </c>
      <c r="Z2">
        <f>MIN(G2:G1001)</f>
        <v>8.2277247894550404E-2</v>
      </c>
      <c r="AA2">
        <f>MIN(F2:F1001)</f>
        <v>163</v>
      </c>
      <c r="AB2">
        <f>MIN(D2:D1001)</f>
        <v>0.23818244</v>
      </c>
      <c r="AC2">
        <f>MIN(H2:H1001)</f>
        <v>2850</v>
      </c>
    </row>
    <row r="3" spans="1:29" x14ac:dyDescent="0.3">
      <c r="A3" t="s">
        <v>794</v>
      </c>
      <c r="B3">
        <v>2.5220206599999999</v>
      </c>
      <c r="D3">
        <v>18.859690000000001</v>
      </c>
      <c r="E3">
        <v>0.1108</v>
      </c>
      <c r="F3">
        <v>459</v>
      </c>
      <c r="G3" t="str">
        <f>IF(OR(C3="",B3="",B3=0),"",5.51*(C3/(B3^3)))</f>
        <v/>
      </c>
      <c r="H3">
        <v>3678</v>
      </c>
      <c r="I3">
        <v>9.0882992933393109E-2</v>
      </c>
      <c r="J3">
        <v>0.23</v>
      </c>
      <c r="L3">
        <f>IF(AND(B3&gt;=0.8,B3&lt;=1.5),1,IF(AND(B3&gt;=0.5,B3&lt;=2),0.5,0))</f>
        <v>0</v>
      </c>
      <c r="M3">
        <f>IF(AND(C3&gt;=0.5,C3&lt;=2),1,IF(AND(C3&gt;=0.1,C3&lt;=5),0.5,0))</f>
        <v>0</v>
      </c>
      <c r="N3">
        <f>IF(AND(G3&gt;=4,G3&lt;=7),1,IF(AND(G3&gt;=3,G3&lt;=8),0.5,0))</f>
        <v>0</v>
      </c>
      <c r="O3">
        <f>IF(AND(F3&gt;=270,F3&lt;=310),1,IF(AND(F3&gt;=250,F3&lt;=330),0.5,0))</f>
        <v>0</v>
      </c>
      <c r="P3">
        <f>IF(AND(E3&gt;=0.8,E3&lt;=1.5),1,IF(AND(E3&gt;=0.5,E3&lt;=2),0.5,0))</f>
        <v>0</v>
      </c>
      <c r="Q3">
        <f>IF(AND(H3&gt;=5000,H3&lt;=6000),1,IF(AND(H3&gt;=4000,H3&lt;5000),0.5,0))</f>
        <v>0</v>
      </c>
      <c r="R3">
        <f>0.35*AVERAGE(L3:M3:N3)+0.3*O3+0.2*P3+0.15*Q3</f>
        <v>0</v>
      </c>
      <c r="S3" t="str">
        <f>LEFT(K3,1)</f>
        <v/>
      </c>
      <c r="T3">
        <f>IF(S3="G",1,0)</f>
        <v>0</v>
      </c>
      <c r="U3">
        <f>IF(S3="K",1,0)</f>
        <v>0</v>
      </c>
      <c r="V3">
        <f>IF(S3="M",1,0)</f>
        <v>0</v>
      </c>
      <c r="W3">
        <f>IF(S3="F",1,0)</f>
        <v>0</v>
      </c>
      <c r="X3">
        <f>MAX(B2:B1001)</f>
        <v>25</v>
      </c>
      <c r="Y3">
        <f>MAX(C2:C1001)</f>
        <v>7024.0077947</v>
      </c>
      <c r="Z3">
        <f>MAX(G2:G1001)</f>
        <v>248.73298821743415</v>
      </c>
      <c r="AA3">
        <f>MAX(F2:F1001)</f>
        <v>3646</v>
      </c>
      <c r="AB3">
        <f>MAX(D2:D1001)</f>
        <v>482.81909999999999</v>
      </c>
      <c r="AC3">
        <f>MAX(H2:H1001)</f>
        <v>8500</v>
      </c>
    </row>
    <row r="4" spans="1:29" x14ac:dyDescent="0.3">
      <c r="A4" t="s">
        <v>793</v>
      </c>
      <c r="C4">
        <v>6.2</v>
      </c>
      <c r="D4">
        <v>1.2718689999999999</v>
      </c>
      <c r="E4">
        <v>2.0799999999999999E-2</v>
      </c>
      <c r="F4">
        <v>1820</v>
      </c>
      <c r="G4" t="str">
        <f>IF(OR(C4="",B4="",B4=0),"",5.51*(C4/(B4^3)))</f>
        <v/>
      </c>
      <c r="H4">
        <v>4596</v>
      </c>
      <c r="I4">
        <v>0.19059351146704068</v>
      </c>
      <c r="J4">
        <v>-0.05</v>
      </c>
      <c r="K4" t="s">
        <v>7</v>
      </c>
      <c r="L4">
        <f>IF(AND(B4&gt;=0.8,B4&lt;=1.5),1,IF(AND(B4&gt;=0.5,B4&lt;=2),0.5,0))</f>
        <v>0</v>
      </c>
      <c r="M4">
        <f>IF(AND(C4&gt;=0.5,C4&lt;=2),1,IF(AND(C4&gt;=0.1,C4&lt;=5),0.5,0))</f>
        <v>0</v>
      </c>
      <c r="N4">
        <f>IF(AND(G4&gt;=4,G4&lt;=7),1,IF(AND(G4&gt;=3,G4&lt;=8),0.5,0))</f>
        <v>0</v>
      </c>
      <c r="O4">
        <f>IF(AND(F4&gt;=270,F4&lt;=310),1,IF(AND(F4&gt;=250,F4&lt;=330),0.5,0))</f>
        <v>0</v>
      </c>
      <c r="P4">
        <f>IF(AND(E4&gt;=0.8,E4&lt;=1.5),1,IF(AND(E4&gt;=0.5,E4&lt;=2),0.5,0))</f>
        <v>0</v>
      </c>
      <c r="Q4">
        <f>IF(AND(H4&gt;=5000,H4&lt;=6000),1,IF(AND(H4&gt;=4000,H4&lt;5000),0.5,0))</f>
        <v>0.5</v>
      </c>
      <c r="R4">
        <f>0.35*AVERAGE(L4:M4:N4)+0.3*O4+0.2*P4+0.15*Q4</f>
        <v>7.4999999999999997E-2</v>
      </c>
      <c r="S4" t="str">
        <f>LEFT(K4,1)</f>
        <v>K</v>
      </c>
      <c r="T4">
        <f>IF(S4="G",1,0)</f>
        <v>0</v>
      </c>
      <c r="U4">
        <f>IF(S4="K",1,0)</f>
        <v>1</v>
      </c>
      <c r="V4">
        <f>IF(S4="M",1,0)</f>
        <v>0</v>
      </c>
      <c r="W4">
        <f>IF(S4="F",1,0)</f>
        <v>0</v>
      </c>
      <c r="X4">
        <f>(B2-$B$1002)/($X$3-$X$2)</f>
        <v>0.16193706269951705</v>
      </c>
      <c r="Y4">
        <f>(C2-$C$1002)/($Y$3-$Y$2)</f>
        <v>0</v>
      </c>
      <c r="Z4" t="str">
        <f>IF($B$1003=$B$1002,"",(B2-$B$1002)/($B$1003-$B$1002))</f>
        <v/>
      </c>
      <c r="AA4">
        <f>(F2-$F$1002)/($AA$3-$AA$2)</f>
        <v>0.17226528854435832</v>
      </c>
      <c r="AB4">
        <f>(D2-$D$1002)/($AB$3-$AB$2)</f>
        <v>1.7537121116994379E-2</v>
      </c>
      <c r="AC4">
        <f>(H2-$H$1002)/($AC$3-$AC$2)</f>
        <v>0.65097345132743367</v>
      </c>
    </row>
    <row r="5" spans="1:29" x14ac:dyDescent="0.3">
      <c r="A5" t="s">
        <v>792</v>
      </c>
      <c r="B5">
        <v>21.59</v>
      </c>
      <c r="C5">
        <v>3932</v>
      </c>
      <c r="D5">
        <v>4.2889730999999998</v>
      </c>
      <c r="E5">
        <v>6.5600000000000006E-2</v>
      </c>
      <c r="F5">
        <v>2001</v>
      </c>
      <c r="G5">
        <f>IF(OR(C5="",B5="",B5=0),"",5.51*(C5/(B5^3)))</f>
        <v>2.1528173310164624</v>
      </c>
      <c r="H5">
        <v>6935</v>
      </c>
      <c r="I5">
        <v>11.460707698814289</v>
      </c>
      <c r="J5">
        <v>-0.34</v>
      </c>
      <c r="L5">
        <f>IF(AND(B5&gt;=0.8,B5&lt;=1.5),1,IF(AND(B5&gt;=0.5,B5&lt;=2),0.5,0))</f>
        <v>0</v>
      </c>
      <c r="M5">
        <f>IF(AND(C5&gt;=0.5,C5&lt;=2),1,IF(AND(C5&gt;=0.1,C5&lt;=5),0.5,0))</f>
        <v>0</v>
      </c>
      <c r="N5">
        <f>IF(AND(G5&gt;=4,G5&lt;=7),1,IF(AND(G5&gt;=3,G5&lt;=8),0.5,0))</f>
        <v>0</v>
      </c>
      <c r="O5">
        <f>IF(AND(F5&gt;=270,F5&lt;=310),1,IF(AND(F5&gt;=250,F5&lt;=330),0.5,0))</f>
        <v>0</v>
      </c>
      <c r="P5">
        <f>IF(AND(E5&gt;=0.8,E5&lt;=1.5),1,IF(AND(E5&gt;=0.5,E5&lt;=2),0.5,0))</f>
        <v>0</v>
      </c>
      <c r="Q5">
        <f>IF(AND(H5&gt;=5000,H5&lt;=6000),1,IF(AND(H5&gt;=4000,H5&lt;5000),0.5,0))</f>
        <v>0</v>
      </c>
      <c r="R5">
        <f>0.35*AVERAGE(L5:M5:N5)+0.3*O5+0.2*P5+0.15*Q5</f>
        <v>0</v>
      </c>
      <c r="S5" t="str">
        <f>LEFT(K5,1)</f>
        <v/>
      </c>
      <c r="T5">
        <f>IF(S5="G",1,0)</f>
        <v>0</v>
      </c>
      <c r="U5">
        <f>IF(S5="K",1,0)</f>
        <v>0</v>
      </c>
      <c r="V5">
        <f>IF(S5="M",1,0)</f>
        <v>0</v>
      </c>
      <c r="W5">
        <f>IF(S5="F",1,0)</f>
        <v>0</v>
      </c>
    </row>
    <row r="6" spans="1:29" x14ac:dyDescent="0.3">
      <c r="A6" t="s">
        <v>791</v>
      </c>
      <c r="B6">
        <v>5.7</v>
      </c>
      <c r="D6">
        <v>8.1382680000000001</v>
      </c>
      <c r="F6">
        <v>850</v>
      </c>
      <c r="G6" t="str">
        <f>IF(OR(C6="",B6="",B6=0),"",5.51*(C6/(B6^3)))</f>
        <v/>
      </c>
      <c r="H6">
        <v>5428</v>
      </c>
      <c r="I6">
        <v>0.72377449288599549</v>
      </c>
      <c r="J6">
        <v>0</v>
      </c>
      <c r="K6" t="s">
        <v>790</v>
      </c>
      <c r="L6">
        <f>IF(AND(B6&gt;=0.8,B6&lt;=1.5),1,IF(AND(B6&gt;=0.5,B6&lt;=2),0.5,0))</f>
        <v>0</v>
      </c>
      <c r="M6">
        <f>IF(AND(C6&gt;=0.5,C6&lt;=2),1,IF(AND(C6&gt;=0.1,C6&lt;=5),0.5,0))</f>
        <v>0</v>
      </c>
      <c r="N6">
        <f>IF(AND(G6&gt;=4,G6&lt;=7),1,IF(AND(G6&gt;=3,G6&lt;=8),0.5,0))</f>
        <v>0</v>
      </c>
      <c r="O6">
        <f>IF(AND(F6&gt;=270,F6&lt;=310),1,IF(AND(F6&gt;=250,F6&lt;=330),0.5,0))</f>
        <v>0</v>
      </c>
      <c r="P6">
        <f>IF(AND(E6&gt;=0.8,E6&lt;=1.5),1,IF(AND(E6&gt;=0.5,E6&lt;=2),0.5,0))</f>
        <v>0</v>
      </c>
      <c r="Q6">
        <f>IF(AND(H6&gt;=5000,H6&lt;=6000),1,IF(AND(H6&gt;=4000,H6&lt;5000),0.5,0))</f>
        <v>1</v>
      </c>
      <c r="R6">
        <f>0.35*AVERAGE(L6:M6:N6)+0.3*O6+0.2*P6+0.15*Q6</f>
        <v>0.15</v>
      </c>
      <c r="S6" t="str">
        <f>LEFT(K6,1)</f>
        <v>G</v>
      </c>
      <c r="T6">
        <f>IF(S6="G",1,0)</f>
        <v>1</v>
      </c>
      <c r="U6">
        <f>IF(S6="K",1,0)</f>
        <v>0</v>
      </c>
      <c r="V6">
        <f>IF(S6="M",1,0)</f>
        <v>0</v>
      </c>
      <c r="W6">
        <f>IF(S6="F",1,0)</f>
        <v>0</v>
      </c>
    </row>
    <row r="7" spans="1:29" x14ac:dyDescent="0.3">
      <c r="A7" t="s">
        <v>789</v>
      </c>
      <c r="B7">
        <v>1.1930000000000001</v>
      </c>
      <c r="C7">
        <v>1.32</v>
      </c>
      <c r="D7">
        <v>0.5182331</v>
      </c>
      <c r="G7">
        <f>IF(OR(C7="",B7="",B7=0),"",5.51*(C7/(B7^3)))</f>
        <v>4.2835535354910004</v>
      </c>
      <c r="H7">
        <v>3458</v>
      </c>
      <c r="I7">
        <v>1.9612968034316218E-2</v>
      </c>
      <c r="J7">
        <v>0.1</v>
      </c>
      <c r="K7" t="s">
        <v>10</v>
      </c>
      <c r="L7">
        <f>IF(AND(B7&gt;=0.8,B7&lt;=1.5),1,IF(AND(B7&gt;=0.5,B7&lt;=2),0.5,0))</f>
        <v>1</v>
      </c>
      <c r="M7">
        <f>IF(AND(C7&gt;=0.5,C7&lt;=2),1,IF(AND(C7&gt;=0.1,C7&lt;=5),0.5,0))</f>
        <v>1</v>
      </c>
      <c r="N7">
        <f>IF(AND(G7&gt;=4,G7&lt;=7),1,IF(AND(G7&gt;=3,G7&lt;=8),0.5,0))</f>
        <v>1</v>
      </c>
      <c r="O7">
        <f>IF(AND(F7&gt;=270,F7&lt;=310),1,IF(AND(F7&gt;=250,F7&lt;=330),0.5,0))</f>
        <v>0</v>
      </c>
      <c r="P7">
        <f>IF(AND(E7&gt;=0.8,E7&lt;=1.5),1,IF(AND(E7&gt;=0.5,E7&lt;=2),0.5,0))</f>
        <v>0</v>
      </c>
      <c r="Q7">
        <f>IF(AND(H7&gt;=5000,H7&lt;=6000),1,IF(AND(H7&gt;=4000,H7&lt;5000),0.5,0))</f>
        <v>0</v>
      </c>
      <c r="R7">
        <f>0.35*AVERAGE(L7:M7:N7)+0.3*O7+0.2*P7+0.15*Q7</f>
        <v>0.35</v>
      </c>
      <c r="S7" t="str">
        <f>LEFT(K7,1)</f>
        <v>M</v>
      </c>
      <c r="T7">
        <f>IF(S7="G",1,0)</f>
        <v>0</v>
      </c>
      <c r="U7">
        <f>IF(S7="K",1,0)</f>
        <v>0</v>
      </c>
      <c r="V7">
        <f>IF(S7="M",1,0)</f>
        <v>1</v>
      </c>
      <c r="W7">
        <f>IF(S7="F",1,0)</f>
        <v>0</v>
      </c>
    </row>
    <row r="8" spans="1:29" x14ac:dyDescent="0.3">
      <c r="A8" t="s">
        <v>788</v>
      </c>
      <c r="B8">
        <v>2.61</v>
      </c>
      <c r="C8">
        <v>22.7</v>
      </c>
      <c r="D8">
        <v>35.61253</v>
      </c>
      <c r="E8">
        <v>0.1915</v>
      </c>
      <c r="F8">
        <v>422</v>
      </c>
      <c r="G8">
        <f>IF(OR(C8="",B8="",B8=0),"",5.51*(C8/(B8^3)))</f>
        <v>7.034867694576155</v>
      </c>
      <c r="H8">
        <v>4640</v>
      </c>
      <c r="I8">
        <v>0.20087754005356764</v>
      </c>
      <c r="J8">
        <v>3.0000000000000001E-3</v>
      </c>
      <c r="K8" t="s">
        <v>747</v>
      </c>
      <c r="L8">
        <f>IF(AND(B8&gt;=0.8,B8&lt;=1.5),1,IF(AND(B8&gt;=0.5,B8&lt;=2),0.5,0))</f>
        <v>0</v>
      </c>
      <c r="M8">
        <f>IF(AND(C8&gt;=0.5,C8&lt;=2),1,IF(AND(C8&gt;=0.1,C8&lt;=5),0.5,0))</f>
        <v>0</v>
      </c>
      <c r="N8">
        <f>IF(AND(G8&gt;=4,G8&lt;=7),1,IF(AND(G8&gt;=3,G8&lt;=8),0.5,0))</f>
        <v>0.5</v>
      </c>
      <c r="O8">
        <f>IF(AND(F8&gt;=270,F8&lt;=310),1,IF(AND(F8&gt;=250,F8&lt;=330),0.5,0))</f>
        <v>0</v>
      </c>
      <c r="P8">
        <f>IF(AND(E8&gt;=0.8,E8&lt;=1.5),1,IF(AND(E8&gt;=0.5,E8&lt;=2),0.5,0))</f>
        <v>0</v>
      </c>
      <c r="Q8">
        <f>IF(AND(H8&gt;=5000,H8&lt;=6000),1,IF(AND(H8&gt;=4000,H8&lt;5000),0.5,0))</f>
        <v>0.5</v>
      </c>
      <c r="R8">
        <f>0.35*AVERAGE(L8:M8:N8)+0.3*O8+0.2*P8+0.15*Q8</f>
        <v>0.13333333333333333</v>
      </c>
      <c r="S8" t="str">
        <f>LEFT(K8,1)</f>
        <v>K</v>
      </c>
      <c r="T8">
        <f>IF(S8="G",1,0)</f>
        <v>0</v>
      </c>
      <c r="U8">
        <f>IF(S8="K",1,0)</f>
        <v>1</v>
      </c>
      <c r="V8">
        <f>IF(S8="M",1,0)</f>
        <v>0</v>
      </c>
      <c r="W8">
        <f>IF(S8="F",1,0)</f>
        <v>0</v>
      </c>
    </row>
    <row r="9" spans="1:29" x14ac:dyDescent="0.3">
      <c r="A9" t="s">
        <v>787</v>
      </c>
      <c r="B9">
        <v>0.56599999999999995</v>
      </c>
      <c r="D9">
        <v>1.7446999000000001</v>
      </c>
      <c r="E9">
        <v>2.1229999999999999E-2</v>
      </c>
      <c r="F9">
        <v>758</v>
      </c>
      <c r="G9" t="str">
        <f>IF(OR(C9="",B9="",B9=0),"",5.51*(C9/(B9^3)))</f>
        <v/>
      </c>
      <c r="H9">
        <v>3485</v>
      </c>
      <c r="I9">
        <v>2.4629821321557051E-2</v>
      </c>
      <c r="J9">
        <v>0.15</v>
      </c>
      <c r="K9" t="s">
        <v>0</v>
      </c>
      <c r="L9">
        <f>IF(AND(B9&gt;=0.8,B9&lt;=1.5),1,IF(AND(B9&gt;=0.5,B9&lt;=2),0.5,0))</f>
        <v>0.5</v>
      </c>
      <c r="M9">
        <f>IF(AND(C9&gt;=0.5,C9&lt;=2),1,IF(AND(C9&gt;=0.1,C9&lt;=5),0.5,0))</f>
        <v>0</v>
      </c>
      <c r="N9">
        <f>IF(AND(G9&gt;=4,G9&lt;=7),1,IF(AND(G9&gt;=3,G9&lt;=8),0.5,0))</f>
        <v>0</v>
      </c>
      <c r="O9">
        <f>IF(AND(F9&gt;=270,F9&lt;=310),1,IF(AND(F9&gt;=250,F9&lt;=330),0.5,0))</f>
        <v>0</v>
      </c>
      <c r="P9">
        <f>IF(AND(E9&gt;=0.8,E9&lt;=1.5),1,IF(AND(E9&gt;=0.5,E9&lt;=2),0.5,0))</f>
        <v>0</v>
      </c>
      <c r="Q9">
        <f>IF(AND(H9&gt;=5000,H9&lt;=6000),1,IF(AND(H9&gt;=4000,H9&lt;5000),0.5,0))</f>
        <v>0</v>
      </c>
      <c r="R9">
        <f>0.35*AVERAGE(L9:M9:N9)+0.3*O9+0.2*P9+0.15*Q9</f>
        <v>5.8333333333333327E-2</v>
      </c>
      <c r="S9" t="str">
        <f>LEFT(K9,1)</f>
        <v>M</v>
      </c>
      <c r="T9">
        <f>IF(S9="G",1,0)</f>
        <v>0</v>
      </c>
      <c r="U9">
        <f>IF(S9="K",1,0)</f>
        <v>0</v>
      </c>
      <c r="V9">
        <f>IF(S9="M",1,0)</f>
        <v>1</v>
      </c>
      <c r="W9">
        <f>IF(S9="F",1,0)</f>
        <v>0</v>
      </c>
    </row>
    <row r="10" spans="1:29" x14ac:dyDescent="0.3">
      <c r="A10" t="s">
        <v>786</v>
      </c>
      <c r="B10">
        <v>2.13</v>
      </c>
      <c r="C10">
        <v>3.34</v>
      </c>
      <c r="D10">
        <v>2.8531054</v>
      </c>
      <c r="E10">
        <v>3.1649999999999998E-2</v>
      </c>
      <c r="F10">
        <v>693</v>
      </c>
      <c r="G10">
        <f>IF(OR(C10="",B10="",B10=0),"",5.51*(C10/(B10^3)))</f>
        <v>1.9044047470108703</v>
      </c>
      <c r="H10">
        <v>3556</v>
      </c>
      <c r="I10">
        <v>3.8197616348490795E-2</v>
      </c>
      <c r="J10">
        <v>-0.06</v>
      </c>
      <c r="K10" t="s">
        <v>74</v>
      </c>
      <c r="L10">
        <f>IF(AND(B10&gt;=0.8,B10&lt;=1.5),1,IF(AND(B10&gt;=0.5,B10&lt;=2),0.5,0))</f>
        <v>0</v>
      </c>
      <c r="M10">
        <f>IF(AND(C10&gt;=0.5,C10&lt;=2),1,IF(AND(C10&gt;=0.1,C10&lt;=5),0.5,0))</f>
        <v>0.5</v>
      </c>
      <c r="N10">
        <f>IF(AND(G10&gt;=4,G10&lt;=7),1,IF(AND(G10&gt;=3,G10&lt;=8),0.5,0))</f>
        <v>0</v>
      </c>
      <c r="O10">
        <f>IF(AND(F10&gt;=270,F10&lt;=310),1,IF(AND(F10&gt;=250,F10&lt;=330),0.5,0))</f>
        <v>0</v>
      </c>
      <c r="P10">
        <f>IF(AND(E10&gt;=0.8,E10&lt;=1.5),1,IF(AND(E10&gt;=0.5,E10&lt;=2),0.5,0))</f>
        <v>0</v>
      </c>
      <c r="Q10">
        <f>IF(AND(H10&gt;=5000,H10&lt;=6000),1,IF(AND(H10&gt;=4000,H10&lt;5000),0.5,0))</f>
        <v>0</v>
      </c>
      <c r="R10">
        <f>0.35*AVERAGE(L10:M10:N10)+0.3*O10+0.2*P10+0.15*Q10</f>
        <v>5.8333333333333327E-2</v>
      </c>
      <c r="S10" t="str">
        <f>LEFT(K10,1)</f>
        <v>M</v>
      </c>
      <c r="T10">
        <f>IF(S10="G",1,0)</f>
        <v>0</v>
      </c>
      <c r="U10">
        <f>IF(S10="K",1,0)</f>
        <v>0</v>
      </c>
      <c r="V10">
        <f>IF(S10="M",1,0)</f>
        <v>1</v>
      </c>
      <c r="W10">
        <f>IF(S10="F",1,0)</f>
        <v>0</v>
      </c>
    </row>
    <row r="11" spans="1:29" x14ac:dyDescent="0.3">
      <c r="A11" t="s">
        <v>785</v>
      </c>
      <c r="B11">
        <v>0.88</v>
      </c>
      <c r="C11">
        <v>4</v>
      </c>
      <c r="D11">
        <v>7.5768599999999999</v>
      </c>
      <c r="G11">
        <f>IF(OR(C11="",B11="",B11=0),"",5.51*(C11/(B11^3)))</f>
        <v>32.341754320060105</v>
      </c>
      <c r="H11">
        <v>3770</v>
      </c>
      <c r="I11">
        <v>4.6514207046761596E-2</v>
      </c>
      <c r="J11">
        <v>-0.16</v>
      </c>
      <c r="K11" t="s">
        <v>281</v>
      </c>
      <c r="L11">
        <f>IF(AND(B11&gt;=0.8,B11&lt;=1.5),1,IF(AND(B11&gt;=0.5,B11&lt;=2),0.5,0))</f>
        <v>1</v>
      </c>
      <c r="M11">
        <f>IF(AND(C11&gt;=0.5,C11&lt;=2),1,IF(AND(C11&gt;=0.1,C11&lt;=5),0.5,0))</f>
        <v>0.5</v>
      </c>
      <c r="N11">
        <f>IF(AND(G11&gt;=4,G11&lt;=7),1,IF(AND(G11&gt;=3,G11&lt;=8),0.5,0))</f>
        <v>0</v>
      </c>
      <c r="O11">
        <f>IF(AND(F11&gt;=270,F11&lt;=310),1,IF(AND(F11&gt;=250,F11&lt;=330),0.5,0))</f>
        <v>0</v>
      </c>
      <c r="P11">
        <f>IF(AND(E11&gt;=0.8,E11&lt;=1.5),1,IF(AND(E11&gt;=0.5,E11&lt;=2),0.5,0))</f>
        <v>0</v>
      </c>
      <c r="Q11">
        <f>IF(AND(H11&gt;=5000,H11&lt;=6000),1,IF(AND(H11&gt;=4000,H11&lt;5000),0.5,0))</f>
        <v>0</v>
      </c>
      <c r="R11">
        <f>0.35*AVERAGE(L11:M11:N11)+0.3*O11+0.2*P11+0.15*Q11</f>
        <v>0.17499999999999999</v>
      </c>
      <c r="S11" t="str">
        <f>LEFT(K11,1)</f>
        <v>M</v>
      </c>
      <c r="T11">
        <f>IF(S11="G",1,0)</f>
        <v>0</v>
      </c>
      <c r="U11">
        <f>IF(S11="K",1,0)</f>
        <v>0</v>
      </c>
      <c r="V11">
        <f>IF(S11="M",1,0)</f>
        <v>1</v>
      </c>
      <c r="W11">
        <f>IF(S11="F",1,0)</f>
        <v>0</v>
      </c>
    </row>
    <row r="12" spans="1:29" x14ac:dyDescent="0.3">
      <c r="A12" t="s">
        <v>784</v>
      </c>
      <c r="B12">
        <v>1.264</v>
      </c>
      <c r="C12">
        <v>1.86</v>
      </c>
      <c r="D12">
        <v>1.1980035</v>
      </c>
      <c r="E12">
        <v>1.5890000000000001E-2</v>
      </c>
      <c r="F12">
        <v>773</v>
      </c>
      <c r="G12">
        <f>IF(OR(C12="",B12="",B12=0),"",5.51*(C12/(B12^3)))</f>
        <v>5.0748512985281078</v>
      </c>
      <c r="H12">
        <v>3347</v>
      </c>
      <c r="I12">
        <v>1.4918167075061019E-2</v>
      </c>
      <c r="J12">
        <v>0.11</v>
      </c>
      <c r="L12">
        <f>IF(AND(B12&gt;=0.8,B12&lt;=1.5),1,IF(AND(B12&gt;=0.5,B12&lt;=2),0.5,0))</f>
        <v>1</v>
      </c>
      <c r="M12">
        <f>IF(AND(C12&gt;=0.5,C12&lt;=2),1,IF(AND(C12&gt;=0.1,C12&lt;=5),0.5,0))</f>
        <v>1</v>
      </c>
      <c r="N12">
        <f>IF(AND(G12&gt;=4,G12&lt;=7),1,IF(AND(G12&gt;=3,G12&lt;=8),0.5,0))</f>
        <v>1</v>
      </c>
      <c r="O12">
        <f>IF(AND(F12&gt;=270,F12&lt;=310),1,IF(AND(F12&gt;=250,F12&lt;=330),0.5,0))</f>
        <v>0</v>
      </c>
      <c r="P12">
        <f>IF(AND(E12&gt;=0.8,E12&lt;=1.5),1,IF(AND(E12&gt;=0.5,E12&lt;=2),0.5,0))</f>
        <v>0</v>
      </c>
      <c r="Q12">
        <f>IF(AND(H12&gt;=5000,H12&lt;=6000),1,IF(AND(H12&gt;=4000,H12&lt;5000),0.5,0))</f>
        <v>0</v>
      </c>
      <c r="R12">
        <f>0.35*AVERAGE(L12:M12:N12)+0.3*O12+0.2*P12+0.15*Q12</f>
        <v>0.35</v>
      </c>
      <c r="S12" t="str">
        <f>LEFT(K12,1)</f>
        <v/>
      </c>
      <c r="T12">
        <f>IF(S12="G",1,0)</f>
        <v>0</v>
      </c>
      <c r="U12">
        <f>IF(S12="K",1,0)</f>
        <v>0</v>
      </c>
      <c r="V12">
        <f>IF(S12="M",1,0)</f>
        <v>0</v>
      </c>
      <c r="W12">
        <f>IF(S12="F",1,0)</f>
        <v>0</v>
      </c>
    </row>
    <row r="13" spans="1:29" x14ac:dyDescent="0.3">
      <c r="A13" t="s">
        <v>783</v>
      </c>
      <c r="B13">
        <v>1.2</v>
      </c>
      <c r="D13">
        <v>3.9306000000000001</v>
      </c>
      <c r="E13">
        <v>3.5999999999999997E-2</v>
      </c>
      <c r="F13">
        <v>518</v>
      </c>
      <c r="G13" t="str">
        <f>IF(OR(C13="",B13="",B13=0),"",5.51*(C13/(B13^3)))</f>
        <v/>
      </c>
      <c r="H13">
        <v>3505</v>
      </c>
      <c r="I13">
        <v>1.5378066723481949E-2</v>
      </c>
      <c r="J13">
        <v>-0.12</v>
      </c>
      <c r="K13" t="s">
        <v>0</v>
      </c>
      <c r="L13">
        <f>IF(AND(B13&gt;=0.8,B13&lt;=1.5),1,IF(AND(B13&gt;=0.5,B13&lt;=2),0.5,0))</f>
        <v>1</v>
      </c>
      <c r="M13">
        <f>IF(AND(C13&gt;=0.5,C13&lt;=2),1,IF(AND(C13&gt;=0.1,C13&lt;=5),0.5,0))</f>
        <v>0</v>
      </c>
      <c r="N13">
        <f>IF(AND(G13&gt;=4,G13&lt;=7),1,IF(AND(G13&gt;=3,G13&lt;=8),0.5,0))</f>
        <v>0</v>
      </c>
      <c r="O13">
        <f>IF(AND(F13&gt;=270,F13&lt;=310),1,IF(AND(F13&gt;=250,F13&lt;=330),0.5,0))</f>
        <v>0</v>
      </c>
      <c r="P13">
        <f>IF(AND(E13&gt;=0.8,E13&lt;=1.5),1,IF(AND(E13&gt;=0.5,E13&lt;=2),0.5,0))</f>
        <v>0</v>
      </c>
      <c r="Q13">
        <f>IF(AND(H13&gt;=5000,H13&lt;=6000),1,IF(AND(H13&gt;=4000,H13&lt;5000),0.5,0))</f>
        <v>0</v>
      </c>
      <c r="R13">
        <f>0.35*AVERAGE(L13:M13:N13)+0.3*O13+0.2*P13+0.15*Q13</f>
        <v>0.11666666666666665</v>
      </c>
      <c r="S13" t="str">
        <f>LEFT(K13,1)</f>
        <v>M</v>
      </c>
      <c r="T13">
        <f>IF(S13="G",1,0)</f>
        <v>0</v>
      </c>
      <c r="U13">
        <f>IF(S13="K",1,0)</f>
        <v>0</v>
      </c>
      <c r="V13">
        <f>IF(S13="M",1,0)</f>
        <v>1</v>
      </c>
      <c r="W13">
        <f>IF(S13="F",1,0)</f>
        <v>0</v>
      </c>
    </row>
    <row r="14" spans="1:29" x14ac:dyDescent="0.3">
      <c r="A14" t="s">
        <v>782</v>
      </c>
      <c r="B14">
        <v>0.69899999999999995</v>
      </c>
      <c r="C14">
        <v>0.63300000000000001</v>
      </c>
      <c r="D14">
        <v>0.3219225</v>
      </c>
      <c r="E14">
        <v>7.0899999999999999E-3</v>
      </c>
      <c r="F14">
        <v>1365</v>
      </c>
      <c r="G14">
        <f>IF(OR(C14="",B14="",B14=0),"",5.51*(C14/(B14^3)))</f>
        <v>10.212305110448785</v>
      </c>
      <c r="H14">
        <v>3522</v>
      </c>
      <c r="I14">
        <v>2.8958643367232244E-2</v>
      </c>
      <c r="J14">
        <v>-0.01</v>
      </c>
      <c r="K14" t="s">
        <v>781</v>
      </c>
      <c r="L14">
        <f>IF(AND(B14&gt;=0.8,B14&lt;=1.5),1,IF(AND(B14&gt;=0.5,B14&lt;=2),0.5,0))</f>
        <v>0.5</v>
      </c>
      <c r="M14">
        <f>IF(AND(C14&gt;=0.5,C14&lt;=2),1,IF(AND(C14&gt;=0.1,C14&lt;=5),0.5,0))</f>
        <v>1</v>
      </c>
      <c r="N14">
        <f>IF(AND(G14&gt;=4,G14&lt;=7),1,IF(AND(G14&gt;=3,G14&lt;=8),0.5,0))</f>
        <v>0</v>
      </c>
      <c r="O14">
        <f>IF(AND(F14&gt;=270,F14&lt;=310),1,IF(AND(F14&gt;=250,F14&lt;=330),0.5,0))</f>
        <v>0</v>
      </c>
      <c r="P14">
        <f>IF(AND(E14&gt;=0.8,E14&lt;=1.5),1,IF(AND(E14&gt;=0.5,E14&lt;=2),0.5,0))</f>
        <v>0</v>
      </c>
      <c r="Q14">
        <f>IF(AND(H14&gt;=5000,H14&lt;=6000),1,IF(AND(H14&gt;=4000,H14&lt;5000),0.5,0))</f>
        <v>0</v>
      </c>
      <c r="R14">
        <f>0.35*AVERAGE(L14:M14:N14)+0.3*O14+0.2*P14+0.15*Q14</f>
        <v>0.17499999999999999</v>
      </c>
      <c r="S14" t="str">
        <f>LEFT(K14,1)</f>
        <v>M</v>
      </c>
      <c r="T14">
        <f>IF(S14="G",1,0)</f>
        <v>0</v>
      </c>
      <c r="U14">
        <f>IF(S14="K",1,0)</f>
        <v>0</v>
      </c>
      <c r="V14">
        <f>IF(S14="M",1,0)</f>
        <v>1</v>
      </c>
      <c r="W14">
        <f>IF(S14="F",1,0)</f>
        <v>0</v>
      </c>
    </row>
    <row r="15" spans="1:29" x14ac:dyDescent="0.3">
      <c r="A15" t="s">
        <v>780</v>
      </c>
      <c r="B15">
        <v>1.0900000000000001</v>
      </c>
      <c r="C15">
        <v>1.75</v>
      </c>
      <c r="D15">
        <v>2.6162350000000001</v>
      </c>
      <c r="E15">
        <v>2.52E-2</v>
      </c>
      <c r="F15">
        <v>568</v>
      </c>
      <c r="G15">
        <f>IF(OR(C15="",B15="",B15=0),"",5.51*(C15/(B15^3)))</f>
        <v>7.44577920648881</v>
      </c>
      <c r="H15">
        <v>3384</v>
      </c>
      <c r="I15">
        <v>1.2047896391833415E-2</v>
      </c>
      <c r="J15">
        <v>-0.02</v>
      </c>
      <c r="L15">
        <f>IF(AND(B15&gt;=0.8,B15&lt;=1.5),1,IF(AND(B15&gt;=0.5,B15&lt;=2),0.5,0))</f>
        <v>1</v>
      </c>
      <c r="M15">
        <f>IF(AND(C15&gt;=0.5,C15&lt;=2),1,IF(AND(C15&gt;=0.1,C15&lt;=5),0.5,0))</f>
        <v>1</v>
      </c>
      <c r="N15">
        <f>IF(AND(G15&gt;=4,G15&lt;=7),1,IF(AND(G15&gt;=3,G15&lt;=8),0.5,0))</f>
        <v>0.5</v>
      </c>
      <c r="O15">
        <f>IF(AND(F15&gt;=270,F15&lt;=310),1,IF(AND(F15&gt;=250,F15&lt;=330),0.5,0))</f>
        <v>0</v>
      </c>
      <c r="P15">
        <f>IF(AND(E15&gt;=0.8,E15&lt;=1.5),1,IF(AND(E15&gt;=0.5,E15&lt;=2),0.5,0))</f>
        <v>0</v>
      </c>
      <c r="Q15">
        <f>IF(AND(H15&gt;=5000,H15&lt;=6000),1,IF(AND(H15&gt;=4000,H15&lt;5000),0.5,0))</f>
        <v>0</v>
      </c>
      <c r="R15">
        <f>0.35*AVERAGE(L15:M15:N15)+0.3*O15+0.2*P15+0.15*Q15</f>
        <v>0.29166666666666669</v>
      </c>
      <c r="S15" t="str">
        <f>LEFT(K15,1)</f>
        <v/>
      </c>
      <c r="T15">
        <f>IF(S15="G",1,0)</f>
        <v>0</v>
      </c>
      <c r="U15">
        <f>IF(S15="K",1,0)</f>
        <v>0</v>
      </c>
      <c r="V15">
        <f>IF(S15="M",1,0)</f>
        <v>0</v>
      </c>
      <c r="W15">
        <f>IF(S15="F",1,0)</f>
        <v>0</v>
      </c>
    </row>
    <row r="16" spans="1:29" x14ac:dyDescent="0.3">
      <c r="A16" t="s">
        <v>779</v>
      </c>
      <c r="B16">
        <v>1.331</v>
      </c>
      <c r="C16">
        <v>1.9</v>
      </c>
      <c r="D16">
        <v>0.92632369999999997</v>
      </c>
      <c r="E16">
        <v>1.406E-2</v>
      </c>
      <c r="F16">
        <v>940</v>
      </c>
      <c r="G16">
        <f>IF(OR(C16="",B16="",B16=0),"",5.51*(C16/(B16^3)))</f>
        <v>4.4398779667415447</v>
      </c>
      <c r="H16">
        <v>3600</v>
      </c>
      <c r="I16">
        <v>2.5878514710431937E-2</v>
      </c>
      <c r="J16">
        <v>-0.28000000000000003</v>
      </c>
      <c r="K16" t="s">
        <v>541</v>
      </c>
      <c r="L16">
        <f>IF(AND(B16&gt;=0.8,B16&lt;=1.5),1,IF(AND(B16&gt;=0.5,B16&lt;=2),0.5,0))</f>
        <v>1</v>
      </c>
      <c r="M16">
        <f>IF(AND(C16&gt;=0.5,C16&lt;=2),1,IF(AND(C16&gt;=0.1,C16&lt;=5),0.5,0))</f>
        <v>1</v>
      </c>
      <c r="N16">
        <f>IF(AND(G16&gt;=4,G16&lt;=7),1,IF(AND(G16&gt;=3,G16&lt;=8),0.5,0))</f>
        <v>1</v>
      </c>
      <c r="O16">
        <f>IF(AND(F16&gt;=270,F16&lt;=310),1,IF(AND(F16&gt;=250,F16&lt;=330),0.5,0))</f>
        <v>0</v>
      </c>
      <c r="P16">
        <f>IF(AND(E16&gt;=0.8,E16&lt;=1.5),1,IF(AND(E16&gt;=0.5,E16&lt;=2),0.5,0))</f>
        <v>0</v>
      </c>
      <c r="Q16">
        <f>IF(AND(H16&gt;=5000,H16&lt;=6000),1,IF(AND(H16&gt;=4000,H16&lt;5000),0.5,0))</f>
        <v>0</v>
      </c>
      <c r="R16">
        <f>0.35*AVERAGE(L16:M16:N16)+0.3*O16+0.2*P16+0.15*Q16</f>
        <v>0.35</v>
      </c>
      <c r="S16" t="str">
        <f>LEFT(K16,1)</f>
        <v>M</v>
      </c>
      <c r="T16">
        <f>IF(S16="G",1,0)</f>
        <v>0</v>
      </c>
      <c r="U16">
        <f>IF(S16="K",1,0)</f>
        <v>0</v>
      </c>
      <c r="V16">
        <f>IF(S16="M",1,0)</f>
        <v>1</v>
      </c>
      <c r="W16">
        <f>IF(S16="F",1,0)</f>
        <v>0</v>
      </c>
    </row>
    <row r="17" spans="1:23" x14ac:dyDescent="0.3">
      <c r="A17" t="s">
        <v>778</v>
      </c>
      <c r="B17">
        <v>0.95799999999999996</v>
      </c>
      <c r="C17">
        <v>3.87</v>
      </c>
      <c r="D17">
        <v>12.761407999999999</v>
      </c>
      <c r="E17">
        <v>6.6799999999999998E-2</v>
      </c>
      <c r="F17">
        <v>314.60000000000002</v>
      </c>
      <c r="G17">
        <f>IF(OR(C17="",B17="",B17=0),"",5.51*(C17/(B17^3)))</f>
        <v>24.253031824037727</v>
      </c>
      <c r="H17">
        <v>3296</v>
      </c>
      <c r="I17">
        <v>7.25180483107455E-3</v>
      </c>
      <c r="J17">
        <v>-0.32</v>
      </c>
      <c r="K17" t="s">
        <v>552</v>
      </c>
      <c r="L17">
        <f>IF(AND(B17&gt;=0.8,B17&lt;=1.5),1,IF(AND(B17&gt;=0.5,B17&lt;=2),0.5,0))</f>
        <v>1</v>
      </c>
      <c r="M17">
        <f>IF(AND(C17&gt;=0.5,C17&lt;=2),1,IF(AND(C17&gt;=0.1,C17&lt;=5),0.5,0))</f>
        <v>0.5</v>
      </c>
      <c r="N17">
        <f>IF(AND(G17&gt;=4,G17&lt;=7),1,IF(AND(G17&gt;=3,G17&lt;=8),0.5,0))</f>
        <v>0</v>
      </c>
      <c r="O17">
        <f>IF(AND(F17&gt;=270,F17&lt;=310),1,IF(AND(F17&gt;=250,F17&lt;=330),0.5,0))</f>
        <v>0.5</v>
      </c>
      <c r="P17">
        <f>IF(AND(E17&gt;=0.8,E17&lt;=1.5),1,IF(AND(E17&gt;=0.5,E17&lt;=2),0.5,0))</f>
        <v>0</v>
      </c>
      <c r="Q17">
        <f>IF(AND(H17&gt;=5000,H17&lt;=6000),1,IF(AND(H17&gt;=4000,H17&lt;5000),0.5,0))</f>
        <v>0</v>
      </c>
      <c r="R17">
        <f>0.35*AVERAGE(L17:M17:N17)+0.3*O17+0.2*P17+0.15*Q17</f>
        <v>0.32499999999999996</v>
      </c>
      <c r="S17" t="str">
        <f>LEFT(K17,1)</f>
        <v>M</v>
      </c>
      <c r="T17">
        <f>IF(S17="G",1,0)</f>
        <v>0</v>
      </c>
      <c r="U17">
        <f>IF(S17="K",1,0)</f>
        <v>0</v>
      </c>
      <c r="V17">
        <f>IF(S17="M",1,0)</f>
        <v>1</v>
      </c>
      <c r="W17">
        <f>IF(S17="F",1,0)</f>
        <v>0</v>
      </c>
    </row>
    <row r="18" spans="1:23" x14ac:dyDescent="0.3">
      <c r="A18" t="s">
        <v>777</v>
      </c>
      <c r="B18">
        <v>0.95599999999999996</v>
      </c>
      <c r="D18">
        <v>4.4656900000000004</v>
      </c>
      <c r="E18">
        <v>4.5999999999999999E-2</v>
      </c>
      <c r="F18">
        <v>834</v>
      </c>
      <c r="G18" t="str">
        <f>IF(OR(C18="",B18="",B18=0),"",5.51*(C18/(B18^3)))</f>
        <v/>
      </c>
      <c r="H18">
        <v>4675</v>
      </c>
      <c r="I18">
        <v>0.17009729597132744</v>
      </c>
      <c r="J18">
        <v>-0.34300000000000003</v>
      </c>
      <c r="L18">
        <f>IF(AND(B18&gt;=0.8,B18&lt;=1.5),1,IF(AND(B18&gt;=0.5,B18&lt;=2),0.5,0))</f>
        <v>1</v>
      </c>
      <c r="M18">
        <f>IF(AND(C18&gt;=0.5,C18&lt;=2),1,IF(AND(C18&gt;=0.1,C18&lt;=5),0.5,0))</f>
        <v>0</v>
      </c>
      <c r="N18">
        <f>IF(AND(G18&gt;=4,G18&lt;=7),1,IF(AND(G18&gt;=3,G18&lt;=8),0.5,0))</f>
        <v>0</v>
      </c>
      <c r="O18">
        <f>IF(AND(F18&gt;=270,F18&lt;=310),1,IF(AND(F18&gt;=250,F18&lt;=330),0.5,0))</f>
        <v>0</v>
      </c>
      <c r="P18">
        <f>IF(AND(E18&gt;=0.8,E18&lt;=1.5),1,IF(AND(E18&gt;=0.5,E18&lt;=2),0.5,0))</f>
        <v>0</v>
      </c>
      <c r="Q18">
        <f>IF(AND(H18&gt;=5000,H18&lt;=6000),1,IF(AND(H18&gt;=4000,H18&lt;5000),0.5,0))</f>
        <v>0.5</v>
      </c>
      <c r="R18">
        <f>0.35*AVERAGE(L18:M18:N18)+0.3*O18+0.2*P18+0.15*Q18</f>
        <v>0.19166666666666665</v>
      </c>
      <c r="S18" t="str">
        <f>LEFT(K18,1)</f>
        <v/>
      </c>
      <c r="T18">
        <f>IF(S18="G",1,0)</f>
        <v>0</v>
      </c>
      <c r="U18">
        <f>IF(S18="K",1,0)</f>
        <v>0</v>
      </c>
      <c r="V18">
        <f>IF(S18="M",1,0)</f>
        <v>0</v>
      </c>
      <c r="W18">
        <f>IF(S18="F",1,0)</f>
        <v>0</v>
      </c>
    </row>
    <row r="19" spans="1:23" x14ac:dyDescent="0.3">
      <c r="A19" t="s">
        <v>776</v>
      </c>
      <c r="B19">
        <v>0.99</v>
      </c>
      <c r="D19">
        <v>6.2040100000000002</v>
      </c>
      <c r="E19">
        <v>5.7299999999999997E-2</v>
      </c>
      <c r="F19">
        <v>747</v>
      </c>
      <c r="G19" t="str">
        <f>IF(OR(C19="",B19="",B19=0),"",5.51*(C19/(B19^3)))</f>
        <v/>
      </c>
      <c r="H19">
        <v>4675</v>
      </c>
      <c r="I19">
        <v>0.17009729597132744</v>
      </c>
      <c r="J19">
        <v>-0.34300000000000003</v>
      </c>
      <c r="L19">
        <f>IF(AND(B19&gt;=0.8,B19&lt;=1.5),1,IF(AND(B19&gt;=0.5,B19&lt;=2),0.5,0))</f>
        <v>1</v>
      </c>
      <c r="M19">
        <f>IF(AND(C19&gt;=0.5,C19&lt;=2),1,IF(AND(C19&gt;=0.1,C19&lt;=5),0.5,0))</f>
        <v>0</v>
      </c>
      <c r="N19">
        <f>IF(AND(G19&gt;=4,G19&lt;=7),1,IF(AND(G19&gt;=3,G19&lt;=8),0.5,0))</f>
        <v>0</v>
      </c>
      <c r="O19">
        <f>IF(AND(F19&gt;=270,F19&lt;=310),1,IF(AND(F19&gt;=250,F19&lt;=330),0.5,0))</f>
        <v>0</v>
      </c>
      <c r="P19">
        <f>IF(AND(E19&gt;=0.8,E19&lt;=1.5),1,IF(AND(E19&gt;=0.5,E19&lt;=2),0.5,0))</f>
        <v>0</v>
      </c>
      <c r="Q19">
        <f>IF(AND(H19&gt;=5000,H19&lt;=6000),1,IF(AND(H19&gt;=4000,H19&lt;5000),0.5,0))</f>
        <v>0.5</v>
      </c>
      <c r="R19">
        <f>0.35*AVERAGE(L19:M19:N19)+0.3*O19+0.2*P19+0.15*Q19</f>
        <v>0.19166666666666665</v>
      </c>
      <c r="S19" t="str">
        <f>LEFT(K19,1)</f>
        <v/>
      </c>
      <c r="T19">
        <f>IF(S19="G",1,0)</f>
        <v>0</v>
      </c>
      <c r="U19">
        <f>IF(S19="K",1,0)</f>
        <v>0</v>
      </c>
      <c r="V19">
        <f>IF(S19="M",1,0)</f>
        <v>0</v>
      </c>
      <c r="W19">
        <f>IF(S19="F",1,0)</f>
        <v>0</v>
      </c>
    </row>
    <row r="20" spans="1:23" x14ac:dyDescent="0.3">
      <c r="A20" t="s">
        <v>775</v>
      </c>
      <c r="B20">
        <v>1.615</v>
      </c>
      <c r="D20">
        <v>3.795963</v>
      </c>
      <c r="E20">
        <v>4.5269999999999998E-2</v>
      </c>
      <c r="G20" t="str">
        <f>IF(OR(C20="",B20="",B20=0),"",5.51*(C20/(B20^3)))</f>
        <v/>
      </c>
      <c r="H20">
        <v>5660</v>
      </c>
      <c r="I20">
        <v>0.70819810682006579</v>
      </c>
      <c r="J20">
        <v>-0.28000000000000003</v>
      </c>
      <c r="L20">
        <f>IF(AND(B20&gt;=0.8,B20&lt;=1.5),1,IF(AND(B20&gt;=0.5,B20&lt;=2),0.5,0))</f>
        <v>0.5</v>
      </c>
      <c r="M20">
        <f>IF(AND(C20&gt;=0.5,C20&lt;=2),1,IF(AND(C20&gt;=0.1,C20&lt;=5),0.5,0))</f>
        <v>0</v>
      </c>
      <c r="N20">
        <f>IF(AND(G20&gt;=4,G20&lt;=7),1,IF(AND(G20&gt;=3,G20&lt;=8),0.5,0))</f>
        <v>0</v>
      </c>
      <c r="O20">
        <f>IF(AND(F20&gt;=270,F20&lt;=310),1,IF(AND(F20&gt;=250,F20&lt;=330),0.5,0))</f>
        <v>0</v>
      </c>
      <c r="P20">
        <f>IF(AND(E20&gt;=0.8,E20&lt;=1.5),1,IF(AND(E20&gt;=0.5,E20&lt;=2),0.5,0))</f>
        <v>0</v>
      </c>
      <c r="Q20">
        <f>IF(AND(H20&gt;=5000,H20&lt;=6000),1,IF(AND(H20&gt;=4000,H20&lt;5000),0.5,0))</f>
        <v>1</v>
      </c>
      <c r="R20">
        <f>0.35*AVERAGE(L20:M20:N20)+0.3*O20+0.2*P20+0.15*Q20</f>
        <v>0.20833333333333331</v>
      </c>
      <c r="S20" t="str">
        <f>LEFT(K20,1)</f>
        <v/>
      </c>
      <c r="T20">
        <f>IF(S20="G",1,0)</f>
        <v>0</v>
      </c>
      <c r="U20">
        <f>IF(S20="K",1,0)</f>
        <v>0</v>
      </c>
      <c r="V20">
        <f>IF(S20="M",1,0)</f>
        <v>0</v>
      </c>
      <c r="W20">
        <f>IF(S20="F",1,0)</f>
        <v>0</v>
      </c>
    </row>
    <row r="21" spans="1:23" x14ac:dyDescent="0.3">
      <c r="A21" t="s">
        <v>774</v>
      </c>
      <c r="B21">
        <v>2.0710000000000002</v>
      </c>
      <c r="D21">
        <v>6.203449</v>
      </c>
      <c r="E21">
        <v>6.2E-2</v>
      </c>
      <c r="G21" t="str">
        <f>IF(OR(C21="",B21="",B21=0),"",5.51*(C21/(B21^3)))</f>
        <v/>
      </c>
      <c r="H21">
        <v>5660</v>
      </c>
      <c r="I21">
        <v>0.70819810682006579</v>
      </c>
      <c r="J21">
        <v>-0.28000000000000003</v>
      </c>
      <c r="L21">
        <f>IF(AND(B21&gt;=0.8,B21&lt;=1.5),1,IF(AND(B21&gt;=0.5,B21&lt;=2),0.5,0))</f>
        <v>0</v>
      </c>
      <c r="M21">
        <f>IF(AND(C21&gt;=0.5,C21&lt;=2),1,IF(AND(C21&gt;=0.1,C21&lt;=5),0.5,0))</f>
        <v>0</v>
      </c>
      <c r="N21">
        <f>IF(AND(G21&gt;=4,G21&lt;=7),1,IF(AND(G21&gt;=3,G21&lt;=8),0.5,0))</f>
        <v>0</v>
      </c>
      <c r="O21">
        <f>IF(AND(F21&gt;=270,F21&lt;=310),1,IF(AND(F21&gt;=250,F21&lt;=330),0.5,0))</f>
        <v>0</v>
      </c>
      <c r="P21">
        <f>IF(AND(E21&gt;=0.8,E21&lt;=1.5),1,IF(AND(E21&gt;=0.5,E21&lt;=2),0.5,0))</f>
        <v>0</v>
      </c>
      <c r="Q21">
        <f>IF(AND(H21&gt;=5000,H21&lt;=6000),1,IF(AND(H21&gt;=4000,H21&lt;5000),0.5,0))</f>
        <v>1</v>
      </c>
      <c r="R21">
        <f>0.35*AVERAGE(L21:M21:N21)+0.3*O21+0.2*P21+0.15*Q21</f>
        <v>0.15</v>
      </c>
      <c r="S21" t="str">
        <f>LEFT(K21,1)</f>
        <v/>
      </c>
      <c r="T21">
        <f>IF(S21="G",1,0)</f>
        <v>0</v>
      </c>
      <c r="U21">
        <f>IF(S21="K",1,0)</f>
        <v>0</v>
      </c>
      <c r="V21">
        <f>IF(S21="M",1,0)</f>
        <v>0</v>
      </c>
      <c r="W21">
        <f>IF(S21="F",1,0)</f>
        <v>0</v>
      </c>
    </row>
    <row r="22" spans="1:23" x14ac:dyDescent="0.3">
      <c r="A22" t="s">
        <v>773</v>
      </c>
      <c r="B22">
        <v>2.5390000000000001</v>
      </c>
      <c r="D22">
        <v>14.175685</v>
      </c>
      <c r="E22">
        <v>0.1074</v>
      </c>
      <c r="G22" t="str">
        <f>IF(OR(C22="",B22="",B22=0),"",5.51*(C22/(B22^3)))</f>
        <v/>
      </c>
      <c r="H22">
        <v>5660</v>
      </c>
      <c r="I22">
        <v>0.70819810682006579</v>
      </c>
      <c r="J22">
        <v>-0.28000000000000003</v>
      </c>
      <c r="L22">
        <f>IF(AND(B22&gt;=0.8,B22&lt;=1.5),1,IF(AND(B22&gt;=0.5,B22&lt;=2),0.5,0))</f>
        <v>0</v>
      </c>
      <c r="M22">
        <f>IF(AND(C22&gt;=0.5,C22&lt;=2),1,IF(AND(C22&gt;=0.1,C22&lt;=5),0.5,0))</f>
        <v>0</v>
      </c>
      <c r="N22">
        <f>IF(AND(G22&gt;=4,G22&lt;=7),1,IF(AND(G22&gt;=3,G22&lt;=8),0.5,0))</f>
        <v>0</v>
      </c>
      <c r="O22">
        <f>IF(AND(F22&gt;=270,F22&lt;=310),1,IF(AND(F22&gt;=250,F22&lt;=330),0.5,0))</f>
        <v>0</v>
      </c>
      <c r="P22">
        <f>IF(AND(E22&gt;=0.8,E22&lt;=1.5),1,IF(AND(E22&gt;=0.5,E22&lt;=2),0.5,0))</f>
        <v>0</v>
      </c>
      <c r="Q22">
        <f>IF(AND(H22&gt;=5000,H22&lt;=6000),1,IF(AND(H22&gt;=4000,H22&lt;5000),0.5,0))</f>
        <v>1</v>
      </c>
      <c r="R22">
        <f>0.35*AVERAGE(L22:M22:N22)+0.3*O22+0.2*P22+0.15*Q22</f>
        <v>0.15</v>
      </c>
      <c r="S22" t="str">
        <f>LEFT(K22,1)</f>
        <v/>
      </c>
      <c r="T22">
        <f>IF(S22="G",1,0)</f>
        <v>0</v>
      </c>
      <c r="U22">
        <f>IF(S22="K",1,0)</f>
        <v>0</v>
      </c>
      <c r="V22">
        <f>IF(S22="M",1,0)</f>
        <v>0</v>
      </c>
      <c r="W22">
        <f>IF(S22="F",1,0)</f>
        <v>0</v>
      </c>
    </row>
    <row r="23" spans="1:23" x14ac:dyDescent="0.3">
      <c r="A23" t="s">
        <v>772</v>
      </c>
      <c r="B23">
        <v>3.0830000000000002</v>
      </c>
      <c r="D23">
        <v>19.590025000000001</v>
      </c>
      <c r="E23">
        <v>0.13669999999999999</v>
      </c>
      <c r="G23" t="str">
        <f>IF(OR(C23="",B23="",B23=0),"",5.51*(C23/(B23^3)))</f>
        <v/>
      </c>
      <c r="H23">
        <v>5660</v>
      </c>
      <c r="I23">
        <v>0.70819810682006579</v>
      </c>
      <c r="J23">
        <v>-0.28000000000000003</v>
      </c>
      <c r="L23">
        <f>IF(AND(B23&gt;=0.8,B23&lt;=1.5),1,IF(AND(B23&gt;=0.5,B23&lt;=2),0.5,0))</f>
        <v>0</v>
      </c>
      <c r="M23">
        <f>IF(AND(C23&gt;=0.5,C23&lt;=2),1,IF(AND(C23&gt;=0.1,C23&lt;=5),0.5,0))</f>
        <v>0</v>
      </c>
      <c r="N23">
        <f>IF(AND(G23&gt;=4,G23&lt;=7),1,IF(AND(G23&gt;=3,G23&lt;=8),0.5,0))</f>
        <v>0</v>
      </c>
      <c r="O23">
        <f>IF(AND(F23&gt;=270,F23&lt;=310),1,IF(AND(F23&gt;=250,F23&lt;=330),0.5,0))</f>
        <v>0</v>
      </c>
      <c r="P23">
        <f>IF(AND(E23&gt;=0.8,E23&lt;=1.5),1,IF(AND(E23&gt;=0.5,E23&lt;=2),0.5,0))</f>
        <v>0</v>
      </c>
      <c r="Q23">
        <f>IF(AND(H23&gt;=5000,H23&lt;=6000),1,IF(AND(H23&gt;=4000,H23&lt;5000),0.5,0))</f>
        <v>1</v>
      </c>
      <c r="R23">
        <f>0.35*AVERAGE(L23:M23:N23)+0.3*O23+0.2*P23+0.15*Q23</f>
        <v>0.15</v>
      </c>
      <c r="S23" t="str">
        <f>LEFT(K23,1)</f>
        <v/>
      </c>
      <c r="T23">
        <f>IF(S23="G",1,0)</f>
        <v>0</v>
      </c>
      <c r="U23">
        <f>IF(S23="K",1,0)</f>
        <v>0</v>
      </c>
      <c r="V23">
        <f>IF(S23="M",1,0)</f>
        <v>0</v>
      </c>
      <c r="W23">
        <f>IF(S23="F",1,0)</f>
        <v>0</v>
      </c>
    </row>
    <row r="24" spans="1:23" x14ac:dyDescent="0.3">
      <c r="A24" t="s">
        <v>771</v>
      </c>
      <c r="B24">
        <v>2.8879999999999999</v>
      </c>
      <c r="D24">
        <v>9.1885259999999995</v>
      </c>
      <c r="G24" t="str">
        <f>IF(OR(C24="",B24="",B24=0),"",5.51*(C24/(B24^3)))</f>
        <v/>
      </c>
      <c r="H24">
        <v>5881</v>
      </c>
      <c r="I24">
        <v>1.0732343581526747</v>
      </c>
      <c r="J24">
        <v>-7.0000000000000007E-2</v>
      </c>
      <c r="L24">
        <f>IF(AND(B24&gt;=0.8,B24&lt;=1.5),1,IF(AND(B24&gt;=0.5,B24&lt;=2),0.5,0))</f>
        <v>0</v>
      </c>
      <c r="M24">
        <f>IF(AND(C24&gt;=0.5,C24&lt;=2),1,IF(AND(C24&gt;=0.1,C24&lt;=5),0.5,0))</f>
        <v>0</v>
      </c>
      <c r="N24">
        <f>IF(AND(G24&gt;=4,G24&lt;=7),1,IF(AND(G24&gt;=3,G24&lt;=8),0.5,0))</f>
        <v>0</v>
      </c>
      <c r="O24">
        <f>IF(AND(F24&gt;=270,F24&lt;=310),1,IF(AND(F24&gt;=250,F24&lt;=330),0.5,0))</f>
        <v>0</v>
      </c>
      <c r="P24">
        <f>IF(AND(E24&gt;=0.8,E24&lt;=1.5),1,IF(AND(E24&gt;=0.5,E24&lt;=2),0.5,0))</f>
        <v>0</v>
      </c>
      <c r="Q24">
        <f>IF(AND(H24&gt;=5000,H24&lt;=6000),1,IF(AND(H24&gt;=4000,H24&lt;5000),0.5,0))</f>
        <v>1</v>
      </c>
      <c r="R24">
        <f>0.35*AVERAGE(L24:M24:N24)+0.3*O24+0.2*P24+0.15*Q24</f>
        <v>0.15</v>
      </c>
      <c r="S24" t="str">
        <f>LEFT(K24,1)</f>
        <v/>
      </c>
      <c r="T24">
        <f>IF(S24="G",1,0)</f>
        <v>0</v>
      </c>
      <c r="U24">
        <f>IF(S24="K",1,0)</f>
        <v>0</v>
      </c>
      <c r="V24">
        <f>IF(S24="M",1,0)</f>
        <v>0</v>
      </c>
      <c r="W24">
        <f>IF(S24="F",1,0)</f>
        <v>0</v>
      </c>
    </row>
    <row r="25" spans="1:23" x14ac:dyDescent="0.3">
      <c r="A25" t="s">
        <v>770</v>
      </c>
      <c r="B25">
        <v>2.59</v>
      </c>
      <c r="D25">
        <v>13.900148</v>
      </c>
      <c r="G25" t="str">
        <f>IF(OR(C25="",B25="",B25=0),"",5.51*(C25/(B25^3)))</f>
        <v/>
      </c>
      <c r="H25">
        <v>5881</v>
      </c>
      <c r="I25">
        <v>1.0732343581526747</v>
      </c>
      <c r="J25">
        <v>-7.0000000000000007E-2</v>
      </c>
      <c r="L25">
        <f>IF(AND(B25&gt;=0.8,B25&lt;=1.5),1,IF(AND(B25&gt;=0.5,B25&lt;=2),0.5,0))</f>
        <v>0</v>
      </c>
      <c r="M25">
        <f>IF(AND(C25&gt;=0.5,C25&lt;=2),1,IF(AND(C25&gt;=0.1,C25&lt;=5),0.5,0))</f>
        <v>0</v>
      </c>
      <c r="N25">
        <f>IF(AND(G25&gt;=4,G25&lt;=7),1,IF(AND(G25&gt;=3,G25&lt;=8),0.5,0))</f>
        <v>0</v>
      </c>
      <c r="O25">
        <f>IF(AND(F25&gt;=270,F25&lt;=310),1,IF(AND(F25&gt;=250,F25&lt;=330),0.5,0))</f>
        <v>0</v>
      </c>
      <c r="P25">
        <f>IF(AND(E25&gt;=0.8,E25&lt;=1.5),1,IF(AND(E25&gt;=0.5,E25&lt;=2),0.5,0))</f>
        <v>0</v>
      </c>
      <c r="Q25">
        <f>IF(AND(H25&gt;=5000,H25&lt;=6000),1,IF(AND(H25&gt;=4000,H25&lt;5000),0.5,0))</f>
        <v>1</v>
      </c>
      <c r="R25">
        <f>0.35*AVERAGE(L25:M25:N25)+0.3*O25+0.2*P25+0.15*Q25</f>
        <v>0.15</v>
      </c>
      <c r="S25" t="str">
        <f>LEFT(K25,1)</f>
        <v/>
      </c>
      <c r="T25">
        <f>IF(S25="G",1,0)</f>
        <v>0</v>
      </c>
      <c r="U25">
        <f>IF(S25="K",1,0)</f>
        <v>0</v>
      </c>
      <c r="V25">
        <f>IF(S25="M",1,0)</f>
        <v>0</v>
      </c>
      <c r="W25">
        <f>IF(S25="F",1,0)</f>
        <v>0</v>
      </c>
    </row>
    <row r="26" spans="1:23" x14ac:dyDescent="0.3">
      <c r="A26" t="s">
        <v>769</v>
      </c>
      <c r="B26">
        <v>3.2</v>
      </c>
      <c r="D26">
        <v>10.18271</v>
      </c>
      <c r="E26">
        <v>0.113</v>
      </c>
      <c r="G26" t="str">
        <f>IF(OR(C26="",B26="",B26=0),"",5.51*(C26/(B26^3)))</f>
        <v/>
      </c>
      <c r="H26">
        <v>6200</v>
      </c>
      <c r="I26">
        <v>1.877372840515499</v>
      </c>
      <c r="J26">
        <v>0.08</v>
      </c>
      <c r="K26" t="s">
        <v>174</v>
      </c>
      <c r="L26">
        <f>IF(AND(B26&gt;=0.8,B26&lt;=1.5),1,IF(AND(B26&gt;=0.5,B26&lt;=2),0.5,0))</f>
        <v>0</v>
      </c>
      <c r="M26">
        <f>IF(AND(C26&gt;=0.5,C26&lt;=2),1,IF(AND(C26&gt;=0.1,C26&lt;=5),0.5,0))</f>
        <v>0</v>
      </c>
      <c r="N26">
        <f>IF(AND(G26&gt;=4,G26&lt;=7),1,IF(AND(G26&gt;=3,G26&lt;=8),0.5,0))</f>
        <v>0</v>
      </c>
      <c r="O26">
        <f>IF(AND(F26&gt;=270,F26&lt;=310),1,IF(AND(F26&gt;=250,F26&lt;=330),0.5,0))</f>
        <v>0</v>
      </c>
      <c r="P26">
        <f>IF(AND(E26&gt;=0.8,E26&lt;=1.5),1,IF(AND(E26&gt;=0.5,E26&lt;=2),0.5,0))</f>
        <v>0</v>
      </c>
      <c r="Q26">
        <f>IF(AND(H26&gt;=5000,H26&lt;=6000),1,IF(AND(H26&gt;=4000,H26&lt;5000),0.5,0))</f>
        <v>0</v>
      </c>
      <c r="R26">
        <f>0.35*AVERAGE(L26:M26:N26)+0.3*O26+0.2*P26+0.15*Q26</f>
        <v>0</v>
      </c>
      <c r="S26" t="str">
        <f>LEFT(K26,1)</f>
        <v>F</v>
      </c>
      <c r="T26">
        <f>IF(S26="G",1,0)</f>
        <v>0</v>
      </c>
      <c r="U26">
        <f>IF(S26="K",1,0)</f>
        <v>0</v>
      </c>
      <c r="V26">
        <f>IF(S26="M",1,0)</f>
        <v>0</v>
      </c>
      <c r="W26">
        <f>IF(S26="F",1,0)</f>
        <v>1</v>
      </c>
    </row>
    <row r="27" spans="1:23" x14ac:dyDescent="0.3">
      <c r="A27" t="s">
        <v>768</v>
      </c>
      <c r="B27">
        <v>2.0499999999999998</v>
      </c>
      <c r="C27">
        <v>4.55</v>
      </c>
      <c r="D27">
        <v>2.5409999999999999</v>
      </c>
      <c r="E27">
        <v>3.5000000000000003E-2</v>
      </c>
      <c r="F27">
        <v>1371</v>
      </c>
      <c r="G27">
        <f>IF(OR(C27="",B27="",B27=0),"",5.51*(C27/(B27^3)))</f>
        <v>2.9100564414329453</v>
      </c>
      <c r="H27">
        <v>5732</v>
      </c>
      <c r="I27">
        <v>0.90753898805346078</v>
      </c>
      <c r="J27">
        <v>0.14000000000000001</v>
      </c>
      <c r="K27" t="s">
        <v>38</v>
      </c>
      <c r="L27">
        <f>IF(AND(B27&gt;=0.8,B27&lt;=1.5),1,IF(AND(B27&gt;=0.5,B27&lt;=2),0.5,0))</f>
        <v>0</v>
      </c>
      <c r="M27">
        <f>IF(AND(C27&gt;=0.5,C27&lt;=2),1,IF(AND(C27&gt;=0.1,C27&lt;=5),0.5,0))</f>
        <v>0.5</v>
      </c>
      <c r="N27">
        <f>IF(AND(G27&gt;=4,G27&lt;=7),1,IF(AND(G27&gt;=3,G27&lt;=8),0.5,0))</f>
        <v>0</v>
      </c>
      <c r="O27">
        <f>IF(AND(F27&gt;=270,F27&lt;=310),1,IF(AND(F27&gt;=250,F27&lt;=330),0.5,0))</f>
        <v>0</v>
      </c>
      <c r="P27">
        <f>IF(AND(E27&gt;=0.8,E27&lt;=1.5),1,IF(AND(E27&gt;=0.5,E27&lt;=2),0.5,0))</f>
        <v>0</v>
      </c>
      <c r="Q27">
        <f>IF(AND(H27&gt;=5000,H27&lt;=6000),1,IF(AND(H27&gt;=4000,H27&lt;5000),0.5,0))</f>
        <v>1</v>
      </c>
      <c r="R27">
        <f>0.35*AVERAGE(L27:M27:N27)+0.3*O27+0.2*P27+0.15*Q27</f>
        <v>0.20833333333333331</v>
      </c>
      <c r="S27" t="str">
        <f>LEFT(K27,1)</f>
        <v>G</v>
      </c>
      <c r="T27">
        <f>IF(S27="G",1,0)</f>
        <v>1</v>
      </c>
      <c r="U27">
        <f>IF(S27="K",1,0)</f>
        <v>0</v>
      </c>
      <c r="V27">
        <f>IF(S27="M",1,0)</f>
        <v>0</v>
      </c>
      <c r="W27">
        <f>IF(S27="F",1,0)</f>
        <v>0</v>
      </c>
    </row>
    <row r="28" spans="1:23" x14ac:dyDescent="0.3">
      <c r="A28" t="s">
        <v>767</v>
      </c>
      <c r="B28">
        <v>2.8570000000000002</v>
      </c>
      <c r="D28">
        <v>15.923475568000001</v>
      </c>
      <c r="E28">
        <v>0.124695</v>
      </c>
      <c r="G28" t="str">
        <f>IF(OR(C28="",B28="",B28=0),"",5.51*(C28/(B28^3)))</f>
        <v/>
      </c>
      <c r="H28">
        <v>5712</v>
      </c>
      <c r="I28">
        <v>1.1140127361453016</v>
      </c>
      <c r="L28">
        <f>IF(AND(B28&gt;=0.8,B28&lt;=1.5),1,IF(AND(B28&gt;=0.5,B28&lt;=2),0.5,0))</f>
        <v>0</v>
      </c>
      <c r="M28">
        <f>IF(AND(C28&gt;=0.5,C28&lt;=2),1,IF(AND(C28&gt;=0.1,C28&lt;=5),0.5,0))</f>
        <v>0</v>
      </c>
      <c r="N28">
        <f>IF(AND(G28&gt;=4,G28&lt;=7),1,IF(AND(G28&gt;=3,G28&lt;=8),0.5,0))</f>
        <v>0</v>
      </c>
      <c r="O28">
        <f>IF(AND(F28&gt;=270,F28&lt;=310),1,IF(AND(F28&gt;=250,F28&lt;=330),0.5,0))</f>
        <v>0</v>
      </c>
      <c r="P28">
        <f>IF(AND(E28&gt;=0.8,E28&lt;=1.5),1,IF(AND(E28&gt;=0.5,E28&lt;=2),0.5,0))</f>
        <v>0</v>
      </c>
      <c r="Q28">
        <f>IF(AND(H28&gt;=5000,H28&lt;=6000),1,IF(AND(H28&gt;=4000,H28&lt;5000),0.5,0))</f>
        <v>1</v>
      </c>
      <c r="R28">
        <f>0.35*AVERAGE(L28:M28:N28)+0.3*O28+0.2*P28+0.15*Q28</f>
        <v>0.15</v>
      </c>
      <c r="S28" t="str">
        <f>LEFT(K28,1)</f>
        <v/>
      </c>
      <c r="T28">
        <f>IF(S28="G",1,0)</f>
        <v>0</v>
      </c>
      <c r="U28">
        <f>IF(S28="K",1,0)</f>
        <v>0</v>
      </c>
      <c r="V28">
        <f>IF(S28="M",1,0)</f>
        <v>0</v>
      </c>
      <c r="W28">
        <f>IF(S28="F",1,0)</f>
        <v>0</v>
      </c>
    </row>
    <row r="29" spans="1:23" x14ac:dyDescent="0.3">
      <c r="A29" t="s">
        <v>766</v>
      </c>
      <c r="B29">
        <v>11.500434</v>
      </c>
      <c r="C29">
        <v>131.89945</v>
      </c>
      <c r="D29">
        <v>11.53533</v>
      </c>
      <c r="E29">
        <v>0.10970000000000001</v>
      </c>
      <c r="F29">
        <v>1228.3</v>
      </c>
      <c r="G29">
        <f>IF(OR(C29="",B29="",B29=0),"",5.51*(C29/(B29^3)))</f>
        <v>0.47780632409829688</v>
      </c>
      <c r="H29">
        <v>5521</v>
      </c>
      <c r="I29">
        <v>4.5489013167727803</v>
      </c>
      <c r="J29">
        <v>0.28999999999999998</v>
      </c>
      <c r="L29">
        <f>IF(AND(B29&gt;=0.8,B29&lt;=1.5),1,IF(AND(B29&gt;=0.5,B29&lt;=2),0.5,0))</f>
        <v>0</v>
      </c>
      <c r="M29">
        <f>IF(AND(C29&gt;=0.5,C29&lt;=2),1,IF(AND(C29&gt;=0.1,C29&lt;=5),0.5,0))</f>
        <v>0</v>
      </c>
      <c r="N29">
        <f>IF(AND(G29&gt;=4,G29&lt;=7),1,IF(AND(G29&gt;=3,G29&lt;=8),0.5,0))</f>
        <v>0</v>
      </c>
      <c r="O29">
        <f>IF(AND(F29&gt;=270,F29&lt;=310),1,IF(AND(F29&gt;=250,F29&lt;=330),0.5,0))</f>
        <v>0</v>
      </c>
      <c r="P29">
        <f>IF(AND(E29&gt;=0.8,E29&lt;=1.5),1,IF(AND(E29&gt;=0.5,E29&lt;=2),0.5,0))</f>
        <v>0</v>
      </c>
      <c r="Q29">
        <f>IF(AND(H29&gt;=5000,H29&lt;=6000),1,IF(AND(H29&gt;=4000,H29&lt;5000),0.5,0))</f>
        <v>1</v>
      </c>
      <c r="R29">
        <f>0.35*AVERAGE(L29:M29:N29)+0.3*O29+0.2*P29+0.15*Q29</f>
        <v>0.15</v>
      </c>
      <c r="S29" t="str">
        <f>LEFT(K29,1)</f>
        <v/>
      </c>
      <c r="T29">
        <f>IF(S29="G",1,0)</f>
        <v>0</v>
      </c>
      <c r="U29">
        <f>IF(S29="K",1,0)</f>
        <v>0</v>
      </c>
      <c r="V29">
        <f>IF(S29="M",1,0)</f>
        <v>0</v>
      </c>
      <c r="W29">
        <f>IF(S29="F",1,0)</f>
        <v>0</v>
      </c>
    </row>
    <row r="30" spans="1:23" x14ac:dyDescent="0.3">
      <c r="A30" t="s">
        <v>765</v>
      </c>
      <c r="B30">
        <v>3.05</v>
      </c>
      <c r="C30">
        <v>9.82</v>
      </c>
      <c r="D30">
        <v>11.620710000000001</v>
      </c>
      <c r="E30">
        <v>0.10489999999999999</v>
      </c>
      <c r="G30">
        <f>IF(OR(C30="",B30="",B30=0),"",5.51*(C30/(B30^3)))</f>
        <v>1.9070565377718844</v>
      </c>
      <c r="H30">
        <v>6310</v>
      </c>
      <c r="I30">
        <v>2.9085689386984623</v>
      </c>
      <c r="J30">
        <v>-0.16</v>
      </c>
      <c r="L30">
        <f>IF(AND(B30&gt;=0.8,B30&lt;=1.5),1,IF(AND(B30&gt;=0.5,B30&lt;=2),0.5,0))</f>
        <v>0</v>
      </c>
      <c r="M30">
        <f>IF(AND(C30&gt;=0.5,C30&lt;=2),1,IF(AND(C30&gt;=0.1,C30&lt;=5),0.5,0))</f>
        <v>0</v>
      </c>
      <c r="N30">
        <f>IF(AND(G30&gt;=4,G30&lt;=7),1,IF(AND(G30&gt;=3,G30&lt;=8),0.5,0))</f>
        <v>0</v>
      </c>
      <c r="O30">
        <f>IF(AND(F30&gt;=270,F30&lt;=310),1,IF(AND(F30&gt;=250,F30&lt;=330),0.5,0))</f>
        <v>0</v>
      </c>
      <c r="P30">
        <f>IF(AND(E30&gt;=0.8,E30&lt;=1.5),1,IF(AND(E30&gt;=0.5,E30&lt;=2),0.5,0))</f>
        <v>0</v>
      </c>
      <c r="Q30">
        <f>IF(AND(H30&gt;=5000,H30&lt;=6000),1,IF(AND(H30&gt;=4000,H30&lt;5000),0.5,0))</f>
        <v>0</v>
      </c>
      <c r="R30">
        <f>0.35*AVERAGE(L30:M30:N30)+0.3*O30+0.2*P30+0.15*Q30</f>
        <v>0</v>
      </c>
      <c r="S30" t="str">
        <f>LEFT(K30,1)</f>
        <v/>
      </c>
      <c r="T30">
        <f>IF(S30="G",1,0)</f>
        <v>0</v>
      </c>
      <c r="U30">
        <f>IF(S30="K",1,0)</f>
        <v>0</v>
      </c>
      <c r="V30">
        <f>IF(S30="M",1,0)</f>
        <v>0</v>
      </c>
      <c r="W30">
        <f>IF(S30="F",1,0)</f>
        <v>0</v>
      </c>
    </row>
    <row r="31" spans="1:23" x14ac:dyDescent="0.3">
      <c r="A31" t="s">
        <v>764</v>
      </c>
      <c r="B31">
        <v>5.94</v>
      </c>
      <c r="C31">
        <v>9.67</v>
      </c>
      <c r="D31">
        <v>19.502103999999999</v>
      </c>
      <c r="E31">
        <v>0.1482</v>
      </c>
      <c r="G31">
        <f>IF(OR(C31="",B31="",B31=0),"",5.51*(C31/(B31^3)))</f>
        <v>0.25422528214193457</v>
      </c>
      <c r="H31">
        <v>6310</v>
      </c>
      <c r="I31">
        <v>2.9085689386984623</v>
      </c>
      <c r="J31">
        <v>-0.16</v>
      </c>
      <c r="L31">
        <f>IF(AND(B31&gt;=0.8,B31&lt;=1.5),1,IF(AND(B31&gt;=0.5,B31&lt;=2),0.5,0))</f>
        <v>0</v>
      </c>
      <c r="M31">
        <f>IF(AND(C31&gt;=0.5,C31&lt;=2),1,IF(AND(C31&gt;=0.1,C31&lt;=5),0.5,0))</f>
        <v>0</v>
      </c>
      <c r="N31">
        <f>IF(AND(G31&gt;=4,G31&lt;=7),1,IF(AND(G31&gt;=3,G31&lt;=8),0.5,0))</f>
        <v>0</v>
      </c>
      <c r="O31">
        <f>IF(AND(F31&gt;=270,F31&lt;=310),1,IF(AND(F31&gt;=250,F31&lt;=330),0.5,0))</f>
        <v>0</v>
      </c>
      <c r="P31">
        <f>IF(AND(E31&gt;=0.8,E31&lt;=1.5),1,IF(AND(E31&gt;=0.5,E31&lt;=2),0.5,0))</f>
        <v>0</v>
      </c>
      <c r="Q31">
        <f>IF(AND(H31&gt;=5000,H31&lt;=6000),1,IF(AND(H31&gt;=4000,H31&lt;5000),0.5,0))</f>
        <v>0</v>
      </c>
      <c r="R31">
        <f>0.35*AVERAGE(L31:M31:N31)+0.3*O31+0.2*P31+0.15*Q31</f>
        <v>0</v>
      </c>
      <c r="S31" t="str">
        <f>LEFT(K31,1)</f>
        <v/>
      </c>
      <c r="T31">
        <f>IF(S31="G",1,0)</f>
        <v>0</v>
      </c>
      <c r="U31">
        <f>IF(S31="K",1,0)</f>
        <v>0</v>
      </c>
      <c r="V31">
        <f>IF(S31="M",1,0)</f>
        <v>0</v>
      </c>
      <c r="W31">
        <f>IF(S31="F",1,0)</f>
        <v>0</v>
      </c>
    </row>
    <row r="32" spans="1:23" x14ac:dyDescent="0.3">
      <c r="A32" t="s">
        <v>763</v>
      </c>
      <c r="B32">
        <v>1.77</v>
      </c>
      <c r="C32">
        <v>6.5190000000000001</v>
      </c>
      <c r="D32">
        <v>4.7559804000000003</v>
      </c>
      <c r="G32">
        <f>IF(OR(C32="",B32="",B32=0),"",5.51*(C32/(B32^3)))</f>
        <v>6.4775799321687648</v>
      </c>
      <c r="H32">
        <v>5131</v>
      </c>
      <c r="I32">
        <v>0.45460073969666259</v>
      </c>
      <c r="J32">
        <v>0.03</v>
      </c>
      <c r="L32">
        <f>IF(AND(B32&gt;=0.8,B32&lt;=1.5),1,IF(AND(B32&gt;=0.5,B32&lt;=2),0.5,0))</f>
        <v>0.5</v>
      </c>
      <c r="M32">
        <f>IF(AND(C32&gt;=0.5,C32&lt;=2),1,IF(AND(C32&gt;=0.1,C32&lt;=5),0.5,0))</f>
        <v>0</v>
      </c>
      <c r="N32">
        <f>IF(AND(G32&gt;=4,G32&lt;=7),1,IF(AND(G32&gt;=3,G32&lt;=8),0.5,0))</f>
        <v>1</v>
      </c>
      <c r="O32">
        <f>IF(AND(F32&gt;=270,F32&lt;=310),1,IF(AND(F32&gt;=250,F32&lt;=330),0.5,0))</f>
        <v>0</v>
      </c>
      <c r="P32">
        <f>IF(AND(E32&gt;=0.8,E32&lt;=1.5),1,IF(AND(E32&gt;=0.5,E32&lt;=2),0.5,0))</f>
        <v>0</v>
      </c>
      <c r="Q32">
        <f>IF(AND(H32&gt;=5000,H32&lt;=6000),1,IF(AND(H32&gt;=4000,H32&lt;5000),0.5,0))</f>
        <v>1</v>
      </c>
      <c r="R32">
        <f>0.35*AVERAGE(L32:M32:N32)+0.3*O32+0.2*P32+0.15*Q32</f>
        <v>0.32499999999999996</v>
      </c>
      <c r="S32" t="str">
        <f>LEFT(K32,1)</f>
        <v/>
      </c>
      <c r="T32">
        <f>IF(S32="G",1,0)</f>
        <v>0</v>
      </c>
      <c r="U32">
        <f>IF(S32="K",1,0)</f>
        <v>0</v>
      </c>
      <c r="V32">
        <f>IF(S32="M",1,0)</f>
        <v>0</v>
      </c>
      <c r="W32">
        <f>IF(S32="F",1,0)</f>
        <v>0</v>
      </c>
    </row>
    <row r="33" spans="1:23" x14ac:dyDescent="0.3">
      <c r="A33" t="s">
        <v>762</v>
      </c>
      <c r="B33">
        <v>2.5259999999999998</v>
      </c>
      <c r="C33">
        <v>6.7919999999999998</v>
      </c>
      <c r="D33">
        <v>17.180546</v>
      </c>
      <c r="G33">
        <f>IF(OR(C33="",B33="",B33=0),"",5.51*(C33/(B33^3)))</f>
        <v>2.3219306129737638</v>
      </c>
      <c r="H33">
        <v>5131</v>
      </c>
      <c r="I33">
        <v>0.45460073969666259</v>
      </c>
      <c r="J33">
        <v>0.03</v>
      </c>
      <c r="L33">
        <f>IF(AND(B33&gt;=0.8,B33&lt;=1.5),1,IF(AND(B33&gt;=0.5,B33&lt;=2),0.5,0))</f>
        <v>0</v>
      </c>
      <c r="M33">
        <f>IF(AND(C33&gt;=0.5,C33&lt;=2),1,IF(AND(C33&gt;=0.1,C33&lt;=5),0.5,0))</f>
        <v>0</v>
      </c>
      <c r="N33">
        <f>IF(AND(G33&gt;=4,G33&lt;=7),1,IF(AND(G33&gt;=3,G33&lt;=8),0.5,0))</f>
        <v>0</v>
      </c>
      <c r="O33">
        <f>IF(AND(F33&gt;=270,F33&lt;=310),1,IF(AND(F33&gt;=250,F33&lt;=330),0.5,0))</f>
        <v>0</v>
      </c>
      <c r="P33">
        <f>IF(AND(E33&gt;=0.8,E33&lt;=1.5),1,IF(AND(E33&gt;=0.5,E33&lt;=2),0.5,0))</f>
        <v>0</v>
      </c>
      <c r="Q33">
        <f>IF(AND(H33&gt;=5000,H33&lt;=6000),1,IF(AND(H33&gt;=4000,H33&lt;5000),0.5,0))</f>
        <v>1</v>
      </c>
      <c r="R33">
        <f>0.35*AVERAGE(L33:M33:N33)+0.3*O33+0.2*P33+0.15*Q33</f>
        <v>0.15</v>
      </c>
      <c r="S33" t="str">
        <f>LEFT(K33,1)</f>
        <v/>
      </c>
      <c r="T33">
        <f>IF(S33="G",1,0)</f>
        <v>0</v>
      </c>
      <c r="U33">
        <f>IF(S33="K",1,0)</f>
        <v>0</v>
      </c>
      <c r="V33">
        <f>IF(S33="M",1,0)</f>
        <v>0</v>
      </c>
      <c r="W33">
        <f>IF(S33="F",1,0)</f>
        <v>0</v>
      </c>
    </row>
    <row r="34" spans="1:23" x14ac:dyDescent="0.3">
      <c r="A34" t="s">
        <v>761</v>
      </c>
      <c r="B34">
        <v>2.2400000000000002</v>
      </c>
      <c r="D34">
        <v>10.924709</v>
      </c>
      <c r="E34">
        <v>0.09</v>
      </c>
      <c r="F34">
        <v>668</v>
      </c>
      <c r="G34" t="str">
        <f>IF(OR(C34="",B34="",B34=0),"",5.51*(C34/(B34^3)))</f>
        <v/>
      </c>
      <c r="H34">
        <v>4757</v>
      </c>
      <c r="I34">
        <v>0.26676718027587049</v>
      </c>
      <c r="J34">
        <v>0.02</v>
      </c>
      <c r="K34" t="s">
        <v>7</v>
      </c>
      <c r="L34">
        <f>IF(AND(B34&gt;=0.8,B34&lt;=1.5),1,IF(AND(B34&gt;=0.5,B34&lt;=2),0.5,0))</f>
        <v>0</v>
      </c>
      <c r="M34">
        <f>IF(AND(C34&gt;=0.5,C34&lt;=2),1,IF(AND(C34&gt;=0.1,C34&lt;=5),0.5,0))</f>
        <v>0</v>
      </c>
      <c r="N34">
        <f>IF(AND(G34&gt;=4,G34&lt;=7),1,IF(AND(G34&gt;=3,G34&lt;=8),0.5,0))</f>
        <v>0</v>
      </c>
      <c r="O34">
        <f>IF(AND(F34&gt;=270,F34&lt;=310),1,IF(AND(F34&gt;=250,F34&lt;=330),0.5,0))</f>
        <v>0</v>
      </c>
      <c r="P34">
        <f>IF(AND(E34&gt;=0.8,E34&lt;=1.5),1,IF(AND(E34&gt;=0.5,E34&lt;=2),0.5,0))</f>
        <v>0</v>
      </c>
      <c r="Q34">
        <f>IF(AND(H34&gt;=5000,H34&lt;=6000),1,IF(AND(H34&gt;=4000,H34&lt;5000),0.5,0))</f>
        <v>0.5</v>
      </c>
      <c r="R34">
        <f>0.35*AVERAGE(L34:M34:N34)+0.3*O34+0.2*P34+0.15*Q34</f>
        <v>7.4999999999999997E-2</v>
      </c>
      <c r="S34" t="str">
        <f>LEFT(K34,1)</f>
        <v>K</v>
      </c>
      <c r="T34">
        <f>IF(S34="G",1,0)</f>
        <v>0</v>
      </c>
      <c r="U34">
        <f>IF(S34="K",1,0)</f>
        <v>1</v>
      </c>
      <c r="V34">
        <f>IF(S34="M",1,0)</f>
        <v>0</v>
      </c>
      <c r="W34">
        <f>IF(S34="F",1,0)</f>
        <v>0</v>
      </c>
    </row>
    <row r="35" spans="1:23" x14ac:dyDescent="0.3">
      <c r="A35" t="s">
        <v>760</v>
      </c>
      <c r="B35">
        <v>2.93</v>
      </c>
      <c r="D35">
        <v>21.583297999999999</v>
      </c>
      <c r="E35">
        <v>0.14099999999999999</v>
      </c>
      <c r="F35">
        <v>532</v>
      </c>
      <c r="G35" t="str">
        <f>IF(OR(C35="",B35="",B35=0),"",5.51*(C35/(B35^3)))</f>
        <v/>
      </c>
      <c r="H35">
        <v>4757</v>
      </c>
      <c r="I35">
        <v>0.26676718027587049</v>
      </c>
      <c r="J35">
        <v>0.02</v>
      </c>
      <c r="K35" t="s">
        <v>7</v>
      </c>
      <c r="L35">
        <f>IF(AND(B35&gt;=0.8,B35&lt;=1.5),1,IF(AND(B35&gt;=0.5,B35&lt;=2),0.5,0))</f>
        <v>0</v>
      </c>
      <c r="M35">
        <f>IF(AND(C35&gt;=0.5,C35&lt;=2),1,IF(AND(C35&gt;=0.1,C35&lt;=5),0.5,0))</f>
        <v>0</v>
      </c>
      <c r="N35">
        <f>IF(AND(G35&gt;=4,G35&lt;=7),1,IF(AND(G35&gt;=3,G35&lt;=8),0.5,0))</f>
        <v>0</v>
      </c>
      <c r="O35">
        <f>IF(AND(F35&gt;=270,F35&lt;=310),1,IF(AND(F35&gt;=250,F35&lt;=330),0.5,0))</f>
        <v>0</v>
      </c>
      <c r="P35">
        <f>IF(AND(E35&gt;=0.8,E35&lt;=1.5),1,IF(AND(E35&gt;=0.5,E35&lt;=2),0.5,0))</f>
        <v>0</v>
      </c>
      <c r="Q35">
        <f>IF(AND(H35&gt;=5000,H35&lt;=6000),1,IF(AND(H35&gt;=4000,H35&lt;5000),0.5,0))</f>
        <v>0.5</v>
      </c>
      <c r="R35">
        <f>0.35*AVERAGE(L35:M35:N35)+0.3*O35+0.2*P35+0.15*Q35</f>
        <v>7.4999999999999997E-2</v>
      </c>
      <c r="S35" t="str">
        <f>LEFT(K35,1)</f>
        <v>K</v>
      </c>
      <c r="T35">
        <f>IF(S35="G",1,0)</f>
        <v>0</v>
      </c>
      <c r="U35">
        <f>IF(S35="K",1,0)</f>
        <v>1</v>
      </c>
      <c r="V35">
        <f>IF(S35="M",1,0)</f>
        <v>0</v>
      </c>
      <c r="W35">
        <f>IF(S35="F",1,0)</f>
        <v>0</v>
      </c>
    </row>
    <row r="36" spans="1:23" x14ac:dyDescent="0.3">
      <c r="A36" t="s">
        <v>759</v>
      </c>
      <c r="B36">
        <v>3.49</v>
      </c>
      <c r="C36">
        <v>20.399999999999999</v>
      </c>
      <c r="D36">
        <v>17.471291000000001</v>
      </c>
      <c r="E36">
        <v>0.13220000000000001</v>
      </c>
      <c r="F36">
        <v>752</v>
      </c>
      <c r="G36">
        <f>IF(OR(C36="",B36="",B36=0),"",5.51*(C36/(B36^3)))</f>
        <v>2.6442680976948885</v>
      </c>
      <c r="H36">
        <v>5784</v>
      </c>
      <c r="I36">
        <v>0.92543400418714761</v>
      </c>
      <c r="J36">
        <v>-3.7999999999999999E-2</v>
      </c>
      <c r="L36">
        <f>IF(AND(B36&gt;=0.8,B36&lt;=1.5),1,IF(AND(B36&gt;=0.5,B36&lt;=2),0.5,0))</f>
        <v>0</v>
      </c>
      <c r="M36">
        <f>IF(AND(C36&gt;=0.5,C36&lt;=2),1,IF(AND(C36&gt;=0.1,C36&lt;=5),0.5,0))</f>
        <v>0</v>
      </c>
      <c r="N36">
        <f>IF(AND(G36&gt;=4,G36&lt;=7),1,IF(AND(G36&gt;=3,G36&lt;=8),0.5,0))</f>
        <v>0</v>
      </c>
      <c r="O36">
        <f>IF(AND(F36&gt;=270,F36&lt;=310),1,IF(AND(F36&gt;=250,F36&lt;=330),0.5,0))</f>
        <v>0</v>
      </c>
      <c r="P36">
        <f>IF(AND(E36&gt;=0.8,E36&lt;=1.5),1,IF(AND(E36&gt;=0.5,E36&lt;=2),0.5,0))</f>
        <v>0</v>
      </c>
      <c r="Q36">
        <f>IF(AND(H36&gt;=5000,H36&lt;=6000),1,IF(AND(H36&gt;=4000,H36&lt;5000),0.5,0))</f>
        <v>1</v>
      </c>
      <c r="R36">
        <f>0.35*AVERAGE(L36:M36:N36)+0.3*O36+0.2*P36+0.15*Q36</f>
        <v>0.15</v>
      </c>
      <c r="S36" t="str">
        <f>LEFT(K36,1)</f>
        <v/>
      </c>
      <c r="T36">
        <f>IF(S36="G",1,0)</f>
        <v>0</v>
      </c>
      <c r="U36">
        <f>IF(S36="K",1,0)</f>
        <v>0</v>
      </c>
      <c r="V36">
        <f>IF(S36="M",1,0)</f>
        <v>0</v>
      </c>
      <c r="W36">
        <f>IF(S36="F",1,0)</f>
        <v>0</v>
      </c>
    </row>
    <row r="37" spans="1:23" x14ac:dyDescent="0.3">
      <c r="A37" t="s">
        <v>758</v>
      </c>
      <c r="B37">
        <v>2.6</v>
      </c>
      <c r="C37">
        <v>24.1</v>
      </c>
      <c r="D37">
        <v>4.1374354000000002</v>
      </c>
      <c r="E37">
        <v>4.8000000000000001E-2</v>
      </c>
      <c r="G37">
        <f>IF(OR(C37="",B37="",B37=0),"",5.51*(C37/(B37^3)))</f>
        <v>7.5552457897132435</v>
      </c>
      <c r="H37">
        <v>5145</v>
      </c>
      <c r="I37">
        <v>0.3698469948649652</v>
      </c>
      <c r="J37">
        <v>0</v>
      </c>
      <c r="K37" t="s">
        <v>371</v>
      </c>
      <c r="L37">
        <f>IF(AND(B37&gt;=0.8,B37&lt;=1.5),1,IF(AND(B37&gt;=0.5,B37&lt;=2),0.5,0))</f>
        <v>0</v>
      </c>
      <c r="M37">
        <f>IF(AND(C37&gt;=0.5,C37&lt;=2),1,IF(AND(C37&gt;=0.1,C37&lt;=5),0.5,0))</f>
        <v>0</v>
      </c>
      <c r="N37">
        <f>IF(AND(G37&gt;=4,G37&lt;=7),1,IF(AND(G37&gt;=3,G37&lt;=8),0.5,0))</f>
        <v>0.5</v>
      </c>
      <c r="O37">
        <f>IF(AND(F37&gt;=270,F37&lt;=310),1,IF(AND(F37&gt;=250,F37&lt;=330),0.5,0))</f>
        <v>0</v>
      </c>
      <c r="P37">
        <f>IF(AND(E37&gt;=0.8,E37&lt;=1.5),1,IF(AND(E37&gt;=0.5,E37&lt;=2),0.5,0))</f>
        <v>0</v>
      </c>
      <c r="Q37">
        <f>IF(AND(H37&gt;=5000,H37&lt;=6000),1,IF(AND(H37&gt;=4000,H37&lt;5000),0.5,0))</f>
        <v>1</v>
      </c>
      <c r="R37">
        <f>0.35*AVERAGE(L37:M37:N37)+0.3*O37+0.2*P37+0.15*Q37</f>
        <v>0.20833333333333331</v>
      </c>
      <c r="S37" t="str">
        <f>LEFT(K37,1)</f>
        <v>K</v>
      </c>
      <c r="T37">
        <f>IF(S37="G",1,0)</f>
        <v>0</v>
      </c>
      <c r="U37">
        <f>IF(S37="K",1,0)</f>
        <v>1</v>
      </c>
      <c r="V37">
        <f>IF(S37="M",1,0)</f>
        <v>0</v>
      </c>
      <c r="W37">
        <f>IF(S37="F",1,0)</f>
        <v>0</v>
      </c>
    </row>
    <row r="38" spans="1:23" x14ac:dyDescent="0.3">
      <c r="A38" t="s">
        <v>757</v>
      </c>
      <c r="B38">
        <v>3.41</v>
      </c>
      <c r="C38">
        <v>10</v>
      </c>
      <c r="D38">
        <v>8.8803256000000008</v>
      </c>
      <c r="E38">
        <v>8.0399999999999999E-2</v>
      </c>
      <c r="F38">
        <v>880</v>
      </c>
      <c r="G38">
        <f>IF(OR(C38="",B38="",B38=0),"",5.51*(C38/(B38^3)))</f>
        <v>1.3895957010398081</v>
      </c>
      <c r="H38">
        <v>5348</v>
      </c>
      <c r="I38">
        <v>0.64850174872934951</v>
      </c>
      <c r="J38">
        <v>-0.15</v>
      </c>
      <c r="K38" t="s">
        <v>241</v>
      </c>
      <c r="L38">
        <f>IF(AND(B38&gt;=0.8,B38&lt;=1.5),1,IF(AND(B38&gt;=0.5,B38&lt;=2),0.5,0))</f>
        <v>0</v>
      </c>
      <c r="M38">
        <f>IF(AND(C38&gt;=0.5,C38&lt;=2),1,IF(AND(C38&gt;=0.1,C38&lt;=5),0.5,0))</f>
        <v>0</v>
      </c>
      <c r="N38">
        <f>IF(AND(G38&gt;=4,G38&lt;=7),1,IF(AND(G38&gt;=3,G38&lt;=8),0.5,0))</f>
        <v>0</v>
      </c>
      <c r="O38">
        <f>IF(AND(F38&gt;=270,F38&lt;=310),1,IF(AND(F38&gt;=250,F38&lt;=330),0.5,0))</f>
        <v>0</v>
      </c>
      <c r="P38">
        <f>IF(AND(E38&gt;=0.8,E38&lt;=1.5),1,IF(AND(E38&gt;=0.5,E38&lt;=2),0.5,0))</f>
        <v>0</v>
      </c>
      <c r="Q38">
        <f>IF(AND(H38&gt;=5000,H38&lt;=6000),1,IF(AND(H38&gt;=4000,H38&lt;5000),0.5,0))</f>
        <v>1</v>
      </c>
      <c r="R38">
        <f>0.35*AVERAGE(L38:M38:N38)+0.3*O38+0.2*P38+0.15*Q38</f>
        <v>0.15</v>
      </c>
      <c r="S38" t="str">
        <f>LEFT(K38,1)</f>
        <v>G</v>
      </c>
      <c r="T38">
        <f>IF(S38="G",1,0)</f>
        <v>1</v>
      </c>
      <c r="U38">
        <f>IF(S38="K",1,0)</f>
        <v>0</v>
      </c>
      <c r="V38">
        <f>IF(S38="M",1,0)</f>
        <v>0</v>
      </c>
      <c r="W38">
        <f>IF(S38="F",1,0)</f>
        <v>0</v>
      </c>
    </row>
    <row r="39" spans="1:23" x14ac:dyDescent="0.3">
      <c r="A39" t="s">
        <v>756</v>
      </c>
      <c r="B39">
        <v>3.1949999999999998</v>
      </c>
      <c r="C39">
        <v>8</v>
      </c>
      <c r="D39">
        <v>28.579743000000001</v>
      </c>
      <c r="E39">
        <v>0.17519999999999999</v>
      </c>
      <c r="F39">
        <v>600</v>
      </c>
      <c r="G39">
        <f>IF(OR(C39="",B39="",B39=0),"",5.51*(C39/(B39^3)))</f>
        <v>1.3515402950620501</v>
      </c>
      <c r="H39">
        <v>5348</v>
      </c>
      <c r="I39">
        <v>0.64850174872934951</v>
      </c>
      <c r="J39">
        <v>-0.15</v>
      </c>
      <c r="K39" t="s">
        <v>241</v>
      </c>
      <c r="L39">
        <f>IF(AND(B39&gt;=0.8,B39&lt;=1.5),1,IF(AND(B39&gt;=0.5,B39&lt;=2),0.5,0))</f>
        <v>0</v>
      </c>
      <c r="M39">
        <f>IF(AND(C39&gt;=0.5,C39&lt;=2),1,IF(AND(C39&gt;=0.1,C39&lt;=5),0.5,0))</f>
        <v>0</v>
      </c>
      <c r="N39">
        <f>IF(AND(G39&gt;=4,G39&lt;=7),1,IF(AND(G39&gt;=3,G39&lt;=8),0.5,0))</f>
        <v>0</v>
      </c>
      <c r="O39">
        <f>IF(AND(F39&gt;=270,F39&lt;=310),1,IF(AND(F39&gt;=250,F39&lt;=330),0.5,0))</f>
        <v>0</v>
      </c>
      <c r="P39">
        <f>IF(AND(E39&gt;=0.8,E39&lt;=1.5),1,IF(AND(E39&gt;=0.5,E39&lt;=2),0.5,0))</f>
        <v>0</v>
      </c>
      <c r="Q39">
        <f>IF(AND(H39&gt;=5000,H39&lt;=6000),1,IF(AND(H39&gt;=4000,H39&lt;5000),0.5,0))</f>
        <v>1</v>
      </c>
      <c r="R39">
        <f>0.35*AVERAGE(L39:M39:N39)+0.3*O39+0.2*P39+0.15*Q39</f>
        <v>0.15</v>
      </c>
      <c r="S39" t="str">
        <f>LEFT(K39,1)</f>
        <v>G</v>
      </c>
      <c r="T39">
        <f>IF(S39="G",1,0)</f>
        <v>1</v>
      </c>
      <c r="U39">
        <f>IF(S39="K",1,0)</f>
        <v>0</v>
      </c>
      <c r="V39">
        <f>IF(S39="M",1,0)</f>
        <v>0</v>
      </c>
      <c r="W39">
        <f>IF(S39="F",1,0)</f>
        <v>0</v>
      </c>
    </row>
    <row r="40" spans="1:23" x14ac:dyDescent="0.3">
      <c r="A40" t="s">
        <v>755</v>
      </c>
      <c r="B40">
        <v>2.9950000000000001</v>
      </c>
      <c r="C40">
        <v>2.8</v>
      </c>
      <c r="D40">
        <v>38.353037</v>
      </c>
      <c r="E40">
        <v>0.2132</v>
      </c>
      <c r="F40">
        <v>540</v>
      </c>
      <c r="G40">
        <f>IF(OR(C40="",B40="",B40=0),"",5.51*(C40/(B40^3)))</f>
        <v>0.57427399442157079</v>
      </c>
      <c r="H40">
        <v>5348</v>
      </c>
      <c r="I40">
        <v>0.64850174872934951</v>
      </c>
      <c r="J40">
        <v>-0.15</v>
      </c>
      <c r="K40" t="s">
        <v>241</v>
      </c>
      <c r="L40">
        <f>IF(AND(B40&gt;=0.8,B40&lt;=1.5),1,IF(AND(B40&gt;=0.5,B40&lt;=2),0.5,0))</f>
        <v>0</v>
      </c>
      <c r="M40">
        <f>IF(AND(C40&gt;=0.5,C40&lt;=2),1,IF(AND(C40&gt;=0.1,C40&lt;=5),0.5,0))</f>
        <v>0.5</v>
      </c>
      <c r="N40">
        <f>IF(AND(G40&gt;=4,G40&lt;=7),1,IF(AND(G40&gt;=3,G40&lt;=8),0.5,0))</f>
        <v>0</v>
      </c>
      <c r="O40">
        <f>IF(AND(F40&gt;=270,F40&lt;=310),1,IF(AND(F40&gt;=250,F40&lt;=330),0.5,0))</f>
        <v>0</v>
      </c>
      <c r="P40">
        <f>IF(AND(E40&gt;=0.8,E40&lt;=1.5),1,IF(AND(E40&gt;=0.5,E40&lt;=2),0.5,0))</f>
        <v>0</v>
      </c>
      <c r="Q40">
        <f>IF(AND(H40&gt;=5000,H40&lt;=6000),1,IF(AND(H40&gt;=4000,H40&lt;5000),0.5,0))</f>
        <v>1</v>
      </c>
      <c r="R40">
        <f>0.35*AVERAGE(L40:M40:N40)+0.3*O40+0.2*P40+0.15*Q40</f>
        <v>0.20833333333333331</v>
      </c>
      <c r="S40" t="str">
        <f>LEFT(K40,1)</f>
        <v>G</v>
      </c>
      <c r="T40">
        <f>IF(S40="G",1,0)</f>
        <v>1</v>
      </c>
      <c r="U40">
        <f>IF(S40="K",1,0)</f>
        <v>0</v>
      </c>
      <c r="V40">
        <f>IF(S40="M",1,0)</f>
        <v>0</v>
      </c>
      <c r="W40">
        <f>IF(S40="F",1,0)</f>
        <v>0</v>
      </c>
    </row>
    <row r="41" spans="1:23" x14ac:dyDescent="0.3">
      <c r="A41" t="s">
        <v>754</v>
      </c>
      <c r="B41">
        <v>17.317905</v>
      </c>
      <c r="C41">
        <v>323.23311000000001</v>
      </c>
      <c r="D41">
        <v>3.3089580000000001</v>
      </c>
      <c r="E41">
        <v>5.2080000000000001E-2</v>
      </c>
      <c r="F41">
        <v>2132</v>
      </c>
      <c r="G41">
        <f>IF(OR(C41="",B41="",B41=0),"",5.51*(C41/(B41^3)))</f>
        <v>0.34291097167898454</v>
      </c>
      <c r="H41">
        <v>6272</v>
      </c>
      <c r="I41">
        <v>9.3207074006664516</v>
      </c>
      <c r="J41">
        <v>0.3</v>
      </c>
      <c r="L41">
        <f>IF(AND(B41&gt;=0.8,B41&lt;=1.5),1,IF(AND(B41&gt;=0.5,B41&lt;=2),0.5,0))</f>
        <v>0</v>
      </c>
      <c r="M41">
        <f>IF(AND(C41&gt;=0.5,C41&lt;=2),1,IF(AND(C41&gt;=0.1,C41&lt;=5),0.5,0))</f>
        <v>0</v>
      </c>
      <c r="N41">
        <f>IF(AND(G41&gt;=4,G41&lt;=7),1,IF(AND(G41&gt;=3,G41&lt;=8),0.5,0))</f>
        <v>0</v>
      </c>
      <c r="O41">
        <f>IF(AND(F41&gt;=270,F41&lt;=310),1,IF(AND(F41&gt;=250,F41&lt;=330),0.5,0))</f>
        <v>0</v>
      </c>
      <c r="P41">
        <f>IF(AND(E41&gt;=0.8,E41&lt;=1.5),1,IF(AND(E41&gt;=0.5,E41&lt;=2),0.5,0))</f>
        <v>0</v>
      </c>
      <c r="Q41">
        <f>IF(AND(H41&gt;=5000,H41&lt;=6000),1,IF(AND(H41&gt;=4000,H41&lt;5000),0.5,0))</f>
        <v>0</v>
      </c>
      <c r="R41">
        <f>0.35*AVERAGE(L41:M41:N41)+0.3*O41+0.2*P41+0.15*Q41</f>
        <v>0</v>
      </c>
      <c r="S41" t="str">
        <f>LEFT(K41,1)</f>
        <v/>
      </c>
      <c r="T41">
        <f>IF(S41="G",1,0)</f>
        <v>0</v>
      </c>
      <c r="U41">
        <f>IF(S41="K",1,0)</f>
        <v>0</v>
      </c>
      <c r="V41">
        <f>IF(S41="M",1,0)</f>
        <v>0</v>
      </c>
      <c r="W41">
        <f>IF(S41="F",1,0)</f>
        <v>0</v>
      </c>
    </row>
    <row r="42" spans="1:23" x14ac:dyDescent="0.3">
      <c r="A42" t="s">
        <v>753</v>
      </c>
      <c r="B42">
        <v>1.72</v>
      </c>
      <c r="C42">
        <v>7.42</v>
      </c>
      <c r="D42">
        <v>0.926118</v>
      </c>
      <c r="E42">
        <v>1.7999999999999999E-2</v>
      </c>
      <c r="F42">
        <v>2141</v>
      </c>
      <c r="G42">
        <f>IF(OR(C42="",B42="",B42=0),"",5.51*(C42/(B42^3)))</f>
        <v>8.0347092079942648</v>
      </c>
      <c r="H42">
        <v>5596</v>
      </c>
      <c r="I42">
        <v>1.1234598601315717</v>
      </c>
      <c r="J42">
        <v>-7.0000000000000007E-2</v>
      </c>
      <c r="L42">
        <f>IF(AND(B42&gt;=0.8,B42&lt;=1.5),1,IF(AND(B42&gt;=0.5,B42&lt;=2),0.5,0))</f>
        <v>0.5</v>
      </c>
      <c r="M42">
        <f>IF(AND(C42&gt;=0.5,C42&lt;=2),1,IF(AND(C42&gt;=0.1,C42&lt;=5),0.5,0))</f>
        <v>0</v>
      </c>
      <c r="N42">
        <f>IF(AND(G42&gt;=4,G42&lt;=7),1,IF(AND(G42&gt;=3,G42&lt;=8),0.5,0))</f>
        <v>0</v>
      </c>
      <c r="O42">
        <f>IF(AND(F42&gt;=270,F42&lt;=310),1,IF(AND(F42&gt;=250,F42&lt;=330),0.5,0))</f>
        <v>0</v>
      </c>
      <c r="P42">
        <f>IF(AND(E42&gt;=0.8,E42&lt;=1.5),1,IF(AND(E42&gt;=0.5,E42&lt;=2),0.5,0))</f>
        <v>0</v>
      </c>
      <c r="Q42">
        <f>IF(AND(H42&gt;=5000,H42&lt;=6000),1,IF(AND(H42&gt;=4000,H42&lt;5000),0.5,0))</f>
        <v>1</v>
      </c>
      <c r="R42">
        <f>0.35*AVERAGE(L42:M42:N42)+0.3*O42+0.2*P42+0.15*Q42</f>
        <v>0.20833333333333331</v>
      </c>
      <c r="S42" t="str">
        <f>LEFT(K42,1)</f>
        <v/>
      </c>
      <c r="T42">
        <f>IF(S42="G",1,0)</f>
        <v>0</v>
      </c>
      <c r="U42">
        <f>IF(S42="K",1,0)</f>
        <v>0</v>
      </c>
      <c r="V42">
        <f>IF(S42="M",1,0)</f>
        <v>0</v>
      </c>
      <c r="W42">
        <f>IF(S42="F",1,0)</f>
        <v>0</v>
      </c>
    </row>
    <row r="43" spans="1:23" x14ac:dyDescent="0.3">
      <c r="A43" t="s">
        <v>752</v>
      </c>
      <c r="B43">
        <v>2.25</v>
      </c>
      <c r="C43">
        <v>6.1</v>
      </c>
      <c r="D43">
        <v>6.4410080000000001</v>
      </c>
      <c r="E43">
        <v>6.2899999999999998E-2</v>
      </c>
      <c r="F43">
        <v>743</v>
      </c>
      <c r="G43">
        <f>IF(OR(C43="",B43="",B43=0),"",5.51*(C43/(B43^3)))</f>
        <v>2.9507599451303155</v>
      </c>
      <c r="H43">
        <v>4819</v>
      </c>
      <c r="I43">
        <v>0.28613450643587401</v>
      </c>
      <c r="J43">
        <v>9.5000000000000001E-2</v>
      </c>
      <c r="K43" t="s">
        <v>460</v>
      </c>
      <c r="L43">
        <f>IF(AND(B43&gt;=0.8,B43&lt;=1.5),1,IF(AND(B43&gt;=0.5,B43&lt;=2),0.5,0))</f>
        <v>0</v>
      </c>
      <c r="M43">
        <f>IF(AND(C43&gt;=0.5,C43&lt;=2),1,IF(AND(C43&gt;=0.1,C43&lt;=5),0.5,0))</f>
        <v>0</v>
      </c>
      <c r="N43">
        <f>IF(AND(G43&gt;=4,G43&lt;=7),1,IF(AND(G43&gt;=3,G43&lt;=8),0.5,0))</f>
        <v>0</v>
      </c>
      <c r="O43">
        <f>IF(AND(F43&gt;=270,F43&lt;=310),1,IF(AND(F43&gt;=250,F43&lt;=330),0.5,0))</f>
        <v>0</v>
      </c>
      <c r="P43">
        <f>IF(AND(E43&gt;=0.8,E43&lt;=1.5),1,IF(AND(E43&gt;=0.5,E43&lt;=2),0.5,0))</f>
        <v>0</v>
      </c>
      <c r="Q43">
        <f>IF(AND(H43&gt;=5000,H43&lt;=6000),1,IF(AND(H43&gt;=4000,H43&lt;5000),0.5,0))</f>
        <v>0.5</v>
      </c>
      <c r="R43">
        <f>0.35*AVERAGE(L43:M43:N43)+0.3*O43+0.2*P43+0.15*Q43</f>
        <v>7.4999999999999997E-2</v>
      </c>
      <c r="S43" t="str">
        <f>LEFT(K43,1)</f>
        <v>K</v>
      </c>
      <c r="T43">
        <f>IF(S43="G",1,0)</f>
        <v>0</v>
      </c>
      <c r="U43">
        <f>IF(S43="K",1,0)</f>
        <v>1</v>
      </c>
      <c r="V43">
        <f>IF(S43="M",1,0)</f>
        <v>0</v>
      </c>
      <c r="W43">
        <f>IF(S43="F",1,0)</f>
        <v>0</v>
      </c>
    </row>
    <row r="44" spans="1:23" x14ac:dyDescent="0.3">
      <c r="A44" t="s">
        <v>751</v>
      </c>
      <c r="B44">
        <v>2.3430213200000001</v>
      </c>
      <c r="C44">
        <v>14.8</v>
      </c>
      <c r="D44">
        <v>16.20166</v>
      </c>
      <c r="E44">
        <v>0.11700000000000001</v>
      </c>
      <c r="F44">
        <v>581.75</v>
      </c>
      <c r="G44">
        <f>IF(OR(C44="",B44="",B44=0),"",5.51*(C44/(B44^3)))</f>
        <v>6.3399319005079757</v>
      </c>
      <c r="H44">
        <v>5106</v>
      </c>
      <c r="I44">
        <v>0.3735973262984853</v>
      </c>
      <c r="J44">
        <v>-0.03</v>
      </c>
      <c r="L44">
        <f>IF(AND(B44&gt;=0.8,B44&lt;=1.5),1,IF(AND(B44&gt;=0.5,B44&lt;=2),0.5,0))</f>
        <v>0</v>
      </c>
      <c r="M44">
        <f>IF(AND(C44&gt;=0.5,C44&lt;=2),1,IF(AND(C44&gt;=0.1,C44&lt;=5),0.5,0))</f>
        <v>0</v>
      </c>
      <c r="N44">
        <f>IF(AND(G44&gt;=4,G44&lt;=7),1,IF(AND(G44&gt;=3,G44&lt;=8),0.5,0))</f>
        <v>1</v>
      </c>
      <c r="O44">
        <f>IF(AND(F44&gt;=270,F44&lt;=310),1,IF(AND(F44&gt;=250,F44&lt;=330),0.5,0))</f>
        <v>0</v>
      </c>
      <c r="P44">
        <f>IF(AND(E44&gt;=0.8,E44&lt;=1.5),1,IF(AND(E44&gt;=0.5,E44&lt;=2),0.5,0))</f>
        <v>0</v>
      </c>
      <c r="Q44">
        <f>IF(AND(H44&gt;=5000,H44&lt;=6000),1,IF(AND(H44&gt;=4000,H44&lt;5000),0.5,0))</f>
        <v>1</v>
      </c>
      <c r="R44">
        <f>0.35*AVERAGE(L44:M44:N44)+0.3*O44+0.2*P44+0.15*Q44</f>
        <v>0.26666666666666666</v>
      </c>
      <c r="S44" t="str">
        <f>LEFT(K44,1)</f>
        <v/>
      </c>
      <c r="T44">
        <f>IF(S44="G",1,0)</f>
        <v>0</v>
      </c>
      <c r="U44">
        <f>IF(S44="K",1,0)</f>
        <v>0</v>
      </c>
      <c r="V44">
        <f>IF(S44="M",1,0)</f>
        <v>0</v>
      </c>
      <c r="W44">
        <f>IF(S44="F",1,0)</f>
        <v>0</v>
      </c>
    </row>
    <row r="45" spans="1:23" x14ac:dyDescent="0.3">
      <c r="A45" t="s">
        <v>750</v>
      </c>
      <c r="B45">
        <v>1.7450000000000001</v>
      </c>
      <c r="C45">
        <v>8.83</v>
      </c>
      <c r="D45">
        <v>1.008035</v>
      </c>
      <c r="E45">
        <v>2.0119999999999999E-2</v>
      </c>
      <c r="F45">
        <v>2128</v>
      </c>
      <c r="G45">
        <f>IF(OR(C45="",B45="",B45=0),"",5.51*(C45/(B45^3)))</f>
        <v>9.1564263931944581</v>
      </c>
      <c r="H45">
        <v>5978</v>
      </c>
      <c r="I45">
        <v>1.3892071761504132</v>
      </c>
      <c r="J45">
        <v>-0.04</v>
      </c>
      <c r="K45" t="s">
        <v>38</v>
      </c>
      <c r="L45">
        <f>IF(AND(B45&gt;=0.8,B45&lt;=1.5),1,IF(AND(B45&gt;=0.5,B45&lt;=2),0.5,0))</f>
        <v>0.5</v>
      </c>
      <c r="M45">
        <f>IF(AND(C45&gt;=0.5,C45&lt;=2),1,IF(AND(C45&gt;=0.1,C45&lt;=5),0.5,0))</f>
        <v>0</v>
      </c>
      <c r="N45">
        <f>IF(AND(G45&gt;=4,G45&lt;=7),1,IF(AND(G45&gt;=3,G45&lt;=8),0.5,0))</f>
        <v>0</v>
      </c>
      <c r="O45">
        <f>IF(AND(F45&gt;=270,F45&lt;=310),1,IF(AND(F45&gt;=250,F45&lt;=330),0.5,0))</f>
        <v>0</v>
      </c>
      <c r="P45">
        <f>IF(AND(E45&gt;=0.8,E45&lt;=1.5),1,IF(AND(E45&gt;=0.5,E45&lt;=2),0.5,0))</f>
        <v>0</v>
      </c>
      <c r="Q45">
        <f>IF(AND(H45&gt;=5000,H45&lt;=6000),1,IF(AND(H45&gt;=4000,H45&lt;5000),0.5,0))</f>
        <v>1</v>
      </c>
      <c r="R45">
        <f>0.35*AVERAGE(L45:M45:N45)+0.3*O45+0.2*P45+0.15*Q45</f>
        <v>0.20833333333333331</v>
      </c>
      <c r="S45" t="str">
        <f>LEFT(K45,1)</f>
        <v>G</v>
      </c>
      <c r="T45">
        <f>IF(S45="G",1,0)</f>
        <v>1</v>
      </c>
      <c r="U45">
        <f>IF(S45="K",1,0)</f>
        <v>0</v>
      </c>
      <c r="V45">
        <f>IF(S45="M",1,0)</f>
        <v>0</v>
      </c>
      <c r="W45">
        <f>IF(S45="F",1,0)</f>
        <v>0</v>
      </c>
    </row>
    <row r="46" spans="1:23" x14ac:dyDescent="0.3">
      <c r="A46" t="s">
        <v>749</v>
      </c>
      <c r="B46">
        <v>2.6970000000000001</v>
      </c>
      <c r="C46">
        <v>17.7</v>
      </c>
      <c r="D46">
        <v>25.129200000000001</v>
      </c>
      <c r="E46">
        <v>0.1726</v>
      </c>
      <c r="F46">
        <v>637</v>
      </c>
      <c r="G46">
        <f>IF(OR(C46="",B46="",B46=0),"",5.51*(C46/(B46^3)))</f>
        <v>4.9714379800982726</v>
      </c>
      <c r="H46">
        <v>5871</v>
      </c>
      <c r="I46">
        <v>1.1618208573977944</v>
      </c>
      <c r="J46">
        <v>4.9000000000000002E-2</v>
      </c>
      <c r="L46">
        <f>IF(AND(B46&gt;=0.8,B46&lt;=1.5),1,IF(AND(B46&gt;=0.5,B46&lt;=2),0.5,0))</f>
        <v>0</v>
      </c>
      <c r="M46">
        <f>IF(AND(C46&gt;=0.5,C46&lt;=2),1,IF(AND(C46&gt;=0.1,C46&lt;=5),0.5,0))</f>
        <v>0</v>
      </c>
      <c r="N46">
        <f>IF(AND(G46&gt;=4,G46&lt;=7),1,IF(AND(G46&gt;=3,G46&lt;=8),0.5,0))</f>
        <v>1</v>
      </c>
      <c r="O46">
        <f>IF(AND(F46&gt;=270,F46&lt;=310),1,IF(AND(F46&gt;=250,F46&lt;=330),0.5,0))</f>
        <v>0</v>
      </c>
      <c r="P46">
        <f>IF(AND(E46&gt;=0.8,E46&lt;=1.5),1,IF(AND(E46&gt;=0.5,E46&lt;=2),0.5,0))</f>
        <v>0</v>
      </c>
      <c r="Q46">
        <f>IF(AND(H46&gt;=5000,H46&lt;=6000),1,IF(AND(H46&gt;=4000,H46&lt;5000),0.5,0))</f>
        <v>1</v>
      </c>
      <c r="R46">
        <f>0.35*AVERAGE(L46:M46:N46)+0.3*O46+0.2*P46+0.15*Q46</f>
        <v>0.26666666666666666</v>
      </c>
      <c r="S46" t="str">
        <f>LEFT(K46,1)</f>
        <v/>
      </c>
      <c r="T46">
        <f>IF(S46="G",1,0)</f>
        <v>0</v>
      </c>
      <c r="U46">
        <f>IF(S46="K",1,0)</f>
        <v>0</v>
      </c>
      <c r="V46">
        <f>IF(S46="M",1,0)</f>
        <v>0</v>
      </c>
      <c r="W46">
        <f>IF(S46="F",1,0)</f>
        <v>0</v>
      </c>
    </row>
    <row r="47" spans="1:23" x14ac:dyDescent="0.3">
      <c r="A47" t="s">
        <v>748</v>
      </c>
      <c r="B47">
        <v>0.89200000000000002</v>
      </c>
      <c r="C47">
        <v>3.7</v>
      </c>
      <c r="D47">
        <v>7.78993</v>
      </c>
      <c r="E47">
        <v>6.9500000000000006E-2</v>
      </c>
      <c r="F47">
        <v>701</v>
      </c>
      <c r="G47">
        <f>IF(OR(C47="",B47="",B47=0),"",5.51*(C47/(B47^3)))</f>
        <v>28.724915499405881</v>
      </c>
      <c r="H47">
        <v>4640</v>
      </c>
      <c r="I47">
        <v>0.20087754005356764</v>
      </c>
      <c r="J47">
        <v>3.0000000000000001E-3</v>
      </c>
      <c r="K47" t="s">
        <v>747</v>
      </c>
      <c r="L47">
        <f>IF(AND(B47&gt;=0.8,B47&lt;=1.5),1,IF(AND(B47&gt;=0.5,B47&lt;=2),0.5,0))</f>
        <v>1</v>
      </c>
      <c r="M47">
        <f>IF(AND(C47&gt;=0.5,C47&lt;=2),1,IF(AND(C47&gt;=0.1,C47&lt;=5),0.5,0))</f>
        <v>0.5</v>
      </c>
      <c r="N47">
        <f>IF(AND(G47&gt;=4,G47&lt;=7),1,IF(AND(G47&gt;=3,G47&lt;=8),0.5,0))</f>
        <v>0</v>
      </c>
      <c r="O47">
        <f>IF(AND(F47&gt;=270,F47&lt;=310),1,IF(AND(F47&gt;=250,F47&lt;=330),0.5,0))</f>
        <v>0</v>
      </c>
      <c r="P47">
        <f>IF(AND(E47&gt;=0.8,E47&lt;=1.5),1,IF(AND(E47&gt;=0.5,E47&lt;=2),0.5,0))</f>
        <v>0</v>
      </c>
      <c r="Q47">
        <f>IF(AND(H47&gt;=5000,H47&lt;=6000),1,IF(AND(H47&gt;=4000,H47&lt;5000),0.5,0))</f>
        <v>0.5</v>
      </c>
      <c r="R47">
        <f>0.35*AVERAGE(L47:M47:N47)+0.3*O47+0.2*P47+0.15*Q47</f>
        <v>0.25</v>
      </c>
      <c r="S47" t="str">
        <f>LEFT(K47,1)</f>
        <v>K</v>
      </c>
      <c r="T47">
        <f>IF(S47="G",1,0)</f>
        <v>0</v>
      </c>
      <c r="U47">
        <f>IF(S47="K",1,0)</f>
        <v>1</v>
      </c>
      <c r="V47">
        <f>IF(S47="M",1,0)</f>
        <v>0</v>
      </c>
      <c r="W47">
        <f>IF(S47="F",1,0)</f>
        <v>0</v>
      </c>
    </row>
    <row r="48" spans="1:23" x14ac:dyDescent="0.3">
      <c r="A48" t="s">
        <v>746</v>
      </c>
      <c r="B48">
        <v>4.8979999999999997</v>
      </c>
      <c r="C48">
        <v>17.600000000000001</v>
      </c>
      <c r="D48">
        <v>6.0344680000000004</v>
      </c>
      <c r="F48">
        <v>1076</v>
      </c>
      <c r="G48">
        <f>IF(OR(C48="",B48="",B48=0),"",5.51*(C48/(B48^3)))</f>
        <v>0.825292549227296</v>
      </c>
      <c r="H48">
        <v>5540</v>
      </c>
      <c r="I48">
        <v>0.94780900181853678</v>
      </c>
      <c r="L48">
        <f>IF(AND(B48&gt;=0.8,B48&lt;=1.5),1,IF(AND(B48&gt;=0.5,B48&lt;=2),0.5,0))</f>
        <v>0</v>
      </c>
      <c r="M48">
        <f>IF(AND(C48&gt;=0.5,C48&lt;=2),1,IF(AND(C48&gt;=0.1,C48&lt;=5),0.5,0))</f>
        <v>0</v>
      </c>
      <c r="N48">
        <f>IF(AND(G48&gt;=4,G48&lt;=7),1,IF(AND(G48&gt;=3,G48&lt;=8),0.5,0))</f>
        <v>0</v>
      </c>
      <c r="O48">
        <f>IF(AND(F48&gt;=270,F48&lt;=310),1,IF(AND(F48&gt;=250,F48&lt;=330),0.5,0))</f>
        <v>0</v>
      </c>
      <c r="P48">
        <f>IF(AND(E48&gt;=0.8,E48&lt;=1.5),1,IF(AND(E48&gt;=0.5,E48&lt;=2),0.5,0))</f>
        <v>0</v>
      </c>
      <c r="Q48">
        <f>IF(AND(H48&gt;=5000,H48&lt;=6000),1,IF(AND(H48&gt;=4000,H48&lt;5000),0.5,0))</f>
        <v>1</v>
      </c>
      <c r="R48">
        <f>0.35*AVERAGE(L48:M48:N48)+0.3*O48+0.2*P48+0.15*Q48</f>
        <v>0.15</v>
      </c>
      <c r="S48" t="str">
        <f>LEFT(K48,1)</f>
        <v/>
      </c>
      <c r="T48">
        <f>IF(S48="G",1,0)</f>
        <v>0</v>
      </c>
      <c r="U48">
        <f>IF(S48="K",1,0)</f>
        <v>0</v>
      </c>
      <c r="V48">
        <f>IF(S48="M",1,0)</f>
        <v>0</v>
      </c>
      <c r="W48">
        <f>IF(S48="F",1,0)</f>
        <v>0</v>
      </c>
    </row>
    <row r="49" spans="1:23" x14ac:dyDescent="0.3">
      <c r="A49" t="s">
        <v>745</v>
      </c>
      <c r="B49">
        <v>9.17</v>
      </c>
      <c r="C49">
        <v>60.5</v>
      </c>
      <c r="D49">
        <v>14.2767</v>
      </c>
      <c r="E49">
        <v>0.12280000000000001</v>
      </c>
      <c r="G49">
        <f>IF(OR(C49="",B49="",B49=0),"",5.51*(C49/(B49^3)))</f>
        <v>0.43231366811766214</v>
      </c>
      <c r="H49">
        <v>5080</v>
      </c>
      <c r="I49">
        <v>5.175177182285168</v>
      </c>
      <c r="J49">
        <v>-0.08</v>
      </c>
      <c r="L49">
        <f>IF(AND(B49&gt;=0.8,B49&lt;=1.5),1,IF(AND(B49&gt;=0.5,B49&lt;=2),0.5,0))</f>
        <v>0</v>
      </c>
      <c r="M49">
        <f>IF(AND(C49&gt;=0.5,C49&lt;=2),1,IF(AND(C49&gt;=0.1,C49&lt;=5),0.5,0))</f>
        <v>0</v>
      </c>
      <c r="N49">
        <f>IF(AND(G49&gt;=4,G49&lt;=7),1,IF(AND(G49&gt;=3,G49&lt;=8),0.5,0))</f>
        <v>0</v>
      </c>
      <c r="O49">
        <f>IF(AND(F49&gt;=270,F49&lt;=310),1,IF(AND(F49&gt;=250,F49&lt;=330),0.5,0))</f>
        <v>0</v>
      </c>
      <c r="P49">
        <f>IF(AND(E49&gt;=0.8,E49&lt;=1.5),1,IF(AND(E49&gt;=0.5,E49&lt;=2),0.5,0))</f>
        <v>0</v>
      </c>
      <c r="Q49">
        <f>IF(AND(H49&gt;=5000,H49&lt;=6000),1,IF(AND(H49&gt;=4000,H49&lt;5000),0.5,0))</f>
        <v>1</v>
      </c>
      <c r="R49">
        <f>0.35*AVERAGE(L49:M49:N49)+0.3*O49+0.2*P49+0.15*Q49</f>
        <v>0.15</v>
      </c>
      <c r="S49" t="str">
        <f>LEFT(K49,1)</f>
        <v/>
      </c>
      <c r="T49">
        <f>IF(S49="G",1,0)</f>
        <v>0</v>
      </c>
      <c r="U49">
        <f>IF(S49="K",1,0)</f>
        <v>0</v>
      </c>
      <c r="V49">
        <f>IF(S49="M",1,0)</f>
        <v>0</v>
      </c>
      <c r="W49">
        <f>IF(S49="F",1,0)</f>
        <v>0</v>
      </c>
    </row>
    <row r="50" spans="1:23" x14ac:dyDescent="0.3">
      <c r="A50" t="s">
        <v>744</v>
      </c>
      <c r="B50">
        <v>2.6070000000000002</v>
      </c>
      <c r="C50">
        <v>26.57</v>
      </c>
      <c r="D50">
        <v>47.424889999999998</v>
      </c>
      <c r="E50">
        <v>0.29580000000000001</v>
      </c>
      <c r="F50">
        <v>546</v>
      </c>
      <c r="G50">
        <f>IF(OR(C50="",B50="",B50=0),"",5.51*(C50/(B50^3)))</f>
        <v>8.2626633752398373</v>
      </c>
      <c r="H50">
        <v>6169</v>
      </c>
      <c r="I50">
        <v>1.6212697408808068</v>
      </c>
      <c r="J50">
        <v>-0.08</v>
      </c>
      <c r="L50">
        <f>IF(AND(B50&gt;=0.8,B50&lt;=1.5),1,IF(AND(B50&gt;=0.5,B50&lt;=2),0.5,0))</f>
        <v>0</v>
      </c>
      <c r="M50">
        <f>IF(AND(C50&gt;=0.5,C50&lt;=2),1,IF(AND(C50&gt;=0.1,C50&lt;=5),0.5,0))</f>
        <v>0</v>
      </c>
      <c r="N50">
        <f>IF(AND(G50&gt;=4,G50&lt;=7),1,IF(AND(G50&gt;=3,G50&lt;=8),0.5,0))</f>
        <v>0</v>
      </c>
      <c r="O50">
        <f>IF(AND(F50&gt;=270,F50&lt;=310),1,IF(AND(F50&gt;=250,F50&lt;=330),0.5,0))</f>
        <v>0</v>
      </c>
      <c r="P50">
        <f>IF(AND(E50&gt;=0.8,E50&lt;=1.5),1,IF(AND(E50&gt;=0.5,E50&lt;=2),0.5,0))</f>
        <v>0</v>
      </c>
      <c r="Q50">
        <f>IF(AND(H50&gt;=5000,H50&lt;=6000),1,IF(AND(H50&gt;=4000,H50&lt;5000),0.5,0))</f>
        <v>0</v>
      </c>
      <c r="R50">
        <f>0.35*AVERAGE(L50:M50:N50)+0.3*O50+0.2*P50+0.15*Q50</f>
        <v>0</v>
      </c>
      <c r="S50" t="str">
        <f>LEFT(K50,1)</f>
        <v/>
      </c>
      <c r="T50">
        <f>IF(S50="G",1,0)</f>
        <v>0</v>
      </c>
      <c r="U50">
        <f>IF(S50="K",1,0)</f>
        <v>0</v>
      </c>
      <c r="V50">
        <f>IF(S50="M",1,0)</f>
        <v>0</v>
      </c>
      <c r="W50">
        <f>IF(S50="F",1,0)</f>
        <v>0</v>
      </c>
    </row>
    <row r="51" spans="1:23" x14ac:dyDescent="0.3">
      <c r="A51" t="s">
        <v>743</v>
      </c>
      <c r="B51">
        <v>2</v>
      </c>
      <c r="C51">
        <v>8.32</v>
      </c>
      <c r="D51">
        <v>17.667086999999999</v>
      </c>
      <c r="E51">
        <v>0.1162</v>
      </c>
      <c r="F51">
        <v>543</v>
      </c>
      <c r="G51">
        <f>IF(OR(C51="",B51="",B51=0),"",5.51*(C51/(B51^3)))</f>
        <v>5.7304000000000004</v>
      </c>
      <c r="H51">
        <v>4684</v>
      </c>
      <c r="I51">
        <v>0.21770785206112445</v>
      </c>
      <c r="J51">
        <v>-0.2</v>
      </c>
      <c r="K51" t="s">
        <v>4</v>
      </c>
      <c r="L51">
        <f>IF(AND(B51&gt;=0.8,B51&lt;=1.5),1,IF(AND(B51&gt;=0.5,B51&lt;=2),0.5,0))</f>
        <v>0.5</v>
      </c>
      <c r="M51">
        <f>IF(AND(C51&gt;=0.5,C51&lt;=2),1,IF(AND(C51&gt;=0.1,C51&lt;=5),0.5,0))</f>
        <v>0</v>
      </c>
      <c r="N51">
        <f>IF(AND(G51&gt;=4,G51&lt;=7),1,IF(AND(G51&gt;=3,G51&lt;=8),0.5,0))</f>
        <v>1</v>
      </c>
      <c r="O51">
        <f>IF(AND(F51&gt;=270,F51&lt;=310),1,IF(AND(F51&gt;=250,F51&lt;=330),0.5,0))</f>
        <v>0</v>
      </c>
      <c r="P51">
        <f>IF(AND(E51&gt;=0.8,E51&lt;=1.5),1,IF(AND(E51&gt;=0.5,E51&lt;=2),0.5,0))</f>
        <v>0</v>
      </c>
      <c r="Q51">
        <f>IF(AND(H51&gt;=5000,H51&lt;=6000),1,IF(AND(H51&gt;=4000,H51&lt;5000),0.5,0))</f>
        <v>0.5</v>
      </c>
      <c r="R51">
        <f>0.35*AVERAGE(L51:M51:N51)+0.3*O51+0.2*P51+0.15*Q51</f>
        <v>0.25</v>
      </c>
      <c r="S51" t="str">
        <f>LEFT(K51,1)</f>
        <v>K</v>
      </c>
      <c r="T51">
        <f>IF(S51="G",1,0)</f>
        <v>0</v>
      </c>
      <c r="U51">
        <f>IF(S51="K",1,0)</f>
        <v>1</v>
      </c>
      <c r="V51">
        <f>IF(S51="M",1,0)</f>
        <v>0</v>
      </c>
      <c r="W51">
        <f>IF(S51="F",1,0)</f>
        <v>0</v>
      </c>
    </row>
    <row r="52" spans="1:23" x14ac:dyDescent="0.3">
      <c r="A52" t="s">
        <v>742</v>
      </c>
      <c r="B52">
        <v>1.87</v>
      </c>
      <c r="C52">
        <v>3.41</v>
      </c>
      <c r="D52">
        <v>29.79749</v>
      </c>
      <c r="E52">
        <v>0.1646</v>
      </c>
      <c r="F52">
        <v>467</v>
      </c>
      <c r="G52">
        <f>IF(OR(C52="",B52="",B52=0),"",5.51*(C52/(B52^3)))</f>
        <v>2.8733012264644477</v>
      </c>
      <c r="H52">
        <v>4684</v>
      </c>
      <c r="I52">
        <v>0.21770785206112445</v>
      </c>
      <c r="J52">
        <v>-0.2</v>
      </c>
      <c r="K52" t="s">
        <v>4</v>
      </c>
      <c r="L52">
        <f>IF(AND(B52&gt;=0.8,B52&lt;=1.5),1,IF(AND(B52&gt;=0.5,B52&lt;=2),0.5,0))</f>
        <v>0.5</v>
      </c>
      <c r="M52">
        <f>IF(AND(C52&gt;=0.5,C52&lt;=2),1,IF(AND(C52&gt;=0.1,C52&lt;=5),0.5,0))</f>
        <v>0.5</v>
      </c>
      <c r="N52">
        <f>IF(AND(G52&gt;=4,G52&lt;=7),1,IF(AND(G52&gt;=3,G52&lt;=8),0.5,0))</f>
        <v>0</v>
      </c>
      <c r="O52">
        <f>IF(AND(F52&gt;=270,F52&lt;=310),1,IF(AND(F52&gt;=250,F52&lt;=330),0.5,0))</f>
        <v>0</v>
      </c>
      <c r="P52">
        <f>IF(AND(E52&gt;=0.8,E52&lt;=1.5),1,IF(AND(E52&gt;=0.5,E52&lt;=2),0.5,0))</f>
        <v>0</v>
      </c>
      <c r="Q52">
        <f>IF(AND(H52&gt;=5000,H52&lt;=6000),1,IF(AND(H52&gt;=4000,H52&lt;5000),0.5,0))</f>
        <v>0.5</v>
      </c>
      <c r="R52">
        <f>0.35*AVERAGE(L52:M52:N52)+0.3*O52+0.2*P52+0.15*Q52</f>
        <v>0.19166666666666665</v>
      </c>
      <c r="S52" t="str">
        <f>LEFT(K52,1)</f>
        <v>K</v>
      </c>
      <c r="T52">
        <f>IF(S52="G",1,0)</f>
        <v>0</v>
      </c>
      <c r="U52">
        <f>IF(S52="K",1,0)</f>
        <v>1</v>
      </c>
      <c r="V52">
        <f>IF(S52="M",1,0)</f>
        <v>0</v>
      </c>
      <c r="W52">
        <f>IF(S52="F",1,0)</f>
        <v>0</v>
      </c>
    </row>
    <row r="53" spans="1:23" x14ac:dyDescent="0.3">
      <c r="A53" t="s">
        <v>741</v>
      </c>
      <c r="B53">
        <v>0.75</v>
      </c>
      <c r="C53">
        <v>0.55000000000000004</v>
      </c>
      <c r="D53">
        <v>3.9766400000000002</v>
      </c>
      <c r="E53">
        <v>4.2979999999999997E-2</v>
      </c>
      <c r="F53">
        <v>909</v>
      </c>
      <c r="G53">
        <f>IF(OR(C53="",B53="",B53=0),"",5.51*(C53/(B53^3)))</f>
        <v>7.1834074074074081</v>
      </c>
      <c r="H53">
        <v>4684</v>
      </c>
      <c r="I53">
        <v>0.21770785206112445</v>
      </c>
      <c r="J53">
        <v>-0.2</v>
      </c>
      <c r="K53" t="s">
        <v>4</v>
      </c>
      <c r="L53">
        <f>IF(AND(B53&gt;=0.8,B53&lt;=1.5),1,IF(AND(B53&gt;=0.5,B53&lt;=2),0.5,0))</f>
        <v>0.5</v>
      </c>
      <c r="M53">
        <f>IF(AND(C53&gt;=0.5,C53&lt;=2),1,IF(AND(C53&gt;=0.1,C53&lt;=5),0.5,0))</f>
        <v>1</v>
      </c>
      <c r="N53">
        <f>IF(AND(G53&gt;=4,G53&lt;=7),1,IF(AND(G53&gt;=3,G53&lt;=8),0.5,0))</f>
        <v>0.5</v>
      </c>
      <c r="O53">
        <f>IF(AND(F53&gt;=270,F53&lt;=310),1,IF(AND(F53&gt;=250,F53&lt;=330),0.5,0))</f>
        <v>0</v>
      </c>
      <c r="P53">
        <f>IF(AND(E53&gt;=0.8,E53&lt;=1.5),1,IF(AND(E53&gt;=0.5,E53&lt;=2),0.5,0))</f>
        <v>0</v>
      </c>
      <c r="Q53">
        <f>IF(AND(H53&gt;=5000,H53&lt;=6000),1,IF(AND(H53&gt;=4000,H53&lt;5000),0.5,0))</f>
        <v>0.5</v>
      </c>
      <c r="R53">
        <f>0.35*AVERAGE(L53:M53:N53)+0.3*O53+0.2*P53+0.15*Q53</f>
        <v>0.30833333333333329</v>
      </c>
      <c r="S53" t="str">
        <f>LEFT(K53,1)</f>
        <v>K</v>
      </c>
      <c r="T53">
        <f>IF(S53="G",1,0)</f>
        <v>0</v>
      </c>
      <c r="U53">
        <f>IF(S53="K",1,0)</f>
        <v>1</v>
      </c>
      <c r="V53">
        <f>IF(S53="M",1,0)</f>
        <v>0</v>
      </c>
      <c r="W53">
        <f>IF(S53="F",1,0)</f>
        <v>0</v>
      </c>
    </row>
    <row r="54" spans="1:23" x14ac:dyDescent="0.3">
      <c r="A54" t="s">
        <v>740</v>
      </c>
      <c r="B54">
        <v>0.81799999999999995</v>
      </c>
      <c r="C54">
        <v>0.72</v>
      </c>
      <c r="D54">
        <v>7.90754</v>
      </c>
      <c r="E54">
        <v>6.8000000000000005E-2</v>
      </c>
      <c r="F54">
        <v>723</v>
      </c>
      <c r="G54">
        <f>IF(OR(C54="",B54="",B54=0),"",5.51*(C54/(B54^3)))</f>
        <v>7.2481001288419593</v>
      </c>
      <c r="H54">
        <v>4684</v>
      </c>
      <c r="I54">
        <v>0.21770785206112445</v>
      </c>
      <c r="J54">
        <v>-0.2</v>
      </c>
      <c r="K54" t="s">
        <v>4</v>
      </c>
      <c r="L54">
        <f>IF(AND(B54&gt;=0.8,B54&lt;=1.5),1,IF(AND(B54&gt;=0.5,B54&lt;=2),0.5,0))</f>
        <v>1</v>
      </c>
      <c r="M54">
        <f>IF(AND(C54&gt;=0.5,C54&lt;=2),1,IF(AND(C54&gt;=0.1,C54&lt;=5),0.5,0))</f>
        <v>1</v>
      </c>
      <c r="N54">
        <f>IF(AND(G54&gt;=4,G54&lt;=7),1,IF(AND(G54&gt;=3,G54&lt;=8),0.5,0))</f>
        <v>0.5</v>
      </c>
      <c r="O54">
        <f>IF(AND(F54&gt;=270,F54&lt;=310),1,IF(AND(F54&gt;=250,F54&lt;=330),0.5,0))</f>
        <v>0</v>
      </c>
      <c r="P54">
        <f>IF(AND(E54&gt;=0.8,E54&lt;=1.5),1,IF(AND(E54&gt;=0.5,E54&lt;=2),0.5,0))</f>
        <v>0</v>
      </c>
      <c r="Q54">
        <f>IF(AND(H54&gt;=5000,H54&lt;=6000),1,IF(AND(H54&gt;=4000,H54&lt;5000),0.5,0))</f>
        <v>0.5</v>
      </c>
      <c r="R54">
        <f>0.35*AVERAGE(L54:M54:N54)+0.3*O54+0.2*P54+0.15*Q54</f>
        <v>0.3666666666666667</v>
      </c>
      <c r="S54" t="str">
        <f>LEFT(K54,1)</f>
        <v>K</v>
      </c>
      <c r="T54">
        <f>IF(S54="G",1,0)</f>
        <v>0</v>
      </c>
      <c r="U54">
        <f>IF(S54="K",1,0)</f>
        <v>1</v>
      </c>
      <c r="V54">
        <f>IF(S54="M",1,0)</f>
        <v>0</v>
      </c>
      <c r="W54">
        <f>IF(S54="F",1,0)</f>
        <v>0</v>
      </c>
    </row>
    <row r="55" spans="1:23" x14ac:dyDescent="0.3">
      <c r="A55" t="s">
        <v>739</v>
      </c>
      <c r="B55">
        <v>1.137</v>
      </c>
      <c r="C55">
        <v>0.77</v>
      </c>
      <c r="D55">
        <v>12.1621839</v>
      </c>
      <c r="E55">
        <v>9.06E-2</v>
      </c>
      <c r="F55">
        <v>630</v>
      </c>
      <c r="G55">
        <f>IF(OR(C55="",B55="",B55=0),"",5.51*(C55/(B55^3)))</f>
        <v>2.8864293370541252</v>
      </c>
      <c r="H55">
        <v>4684</v>
      </c>
      <c r="I55">
        <v>0.21770785206112445</v>
      </c>
      <c r="J55">
        <v>-0.2</v>
      </c>
      <c r="K55" t="s">
        <v>4</v>
      </c>
      <c r="L55">
        <f>IF(AND(B55&gt;=0.8,B55&lt;=1.5),1,IF(AND(B55&gt;=0.5,B55&lt;=2),0.5,0))</f>
        <v>1</v>
      </c>
      <c r="M55">
        <f>IF(AND(C55&gt;=0.5,C55&lt;=2),1,IF(AND(C55&gt;=0.1,C55&lt;=5),0.5,0))</f>
        <v>1</v>
      </c>
      <c r="N55">
        <f>IF(AND(G55&gt;=4,G55&lt;=7),1,IF(AND(G55&gt;=3,G55&lt;=8),0.5,0))</f>
        <v>0</v>
      </c>
      <c r="O55">
        <f>IF(AND(F55&gt;=270,F55&lt;=310),1,IF(AND(F55&gt;=250,F55&lt;=330),0.5,0))</f>
        <v>0</v>
      </c>
      <c r="P55">
        <f>IF(AND(E55&gt;=0.8,E55&lt;=1.5),1,IF(AND(E55&gt;=0.5,E55&lt;=2),0.5,0))</f>
        <v>0</v>
      </c>
      <c r="Q55">
        <f>IF(AND(H55&gt;=5000,H55&lt;=6000),1,IF(AND(H55&gt;=4000,H55&lt;5000),0.5,0))</f>
        <v>0.5</v>
      </c>
      <c r="R55">
        <f>0.35*AVERAGE(L55:M55:N55)+0.3*O55+0.2*P55+0.15*Q55</f>
        <v>0.30833333333333329</v>
      </c>
      <c r="S55" t="str">
        <f>LEFT(K55,1)</f>
        <v>K</v>
      </c>
      <c r="T55">
        <f>IF(S55="G",1,0)</f>
        <v>0</v>
      </c>
      <c r="U55">
        <f>IF(S55="K",1,0)</f>
        <v>1</v>
      </c>
      <c r="V55">
        <f>IF(S55="M",1,0)</f>
        <v>0</v>
      </c>
      <c r="W55">
        <f>IF(S55="F",1,0)</f>
        <v>0</v>
      </c>
    </row>
    <row r="56" spans="1:23" x14ac:dyDescent="0.3">
      <c r="A56" t="s">
        <v>738</v>
      </c>
      <c r="B56">
        <v>1.982</v>
      </c>
      <c r="C56">
        <v>4.1500000000000004</v>
      </c>
      <c r="D56">
        <v>7.4341324999999996</v>
      </c>
      <c r="E56">
        <v>7.0599999999999996E-2</v>
      </c>
      <c r="G56">
        <f>IF(OR(C56="",B56="",B56=0),"",5.51*(C56/(B56^3)))</f>
        <v>2.9368971993613706</v>
      </c>
      <c r="H56">
        <v>5075</v>
      </c>
      <c r="I56">
        <v>0.35470608344911053</v>
      </c>
      <c r="J56">
        <v>-0.02</v>
      </c>
      <c r="K56" t="s">
        <v>7</v>
      </c>
      <c r="L56">
        <f>IF(AND(B56&gt;=0.8,B56&lt;=1.5),1,IF(AND(B56&gt;=0.5,B56&lt;=2),0.5,0))</f>
        <v>0.5</v>
      </c>
      <c r="M56">
        <f>IF(AND(C56&gt;=0.5,C56&lt;=2),1,IF(AND(C56&gt;=0.1,C56&lt;=5),0.5,0))</f>
        <v>0.5</v>
      </c>
      <c r="N56">
        <f>IF(AND(G56&gt;=4,G56&lt;=7),1,IF(AND(G56&gt;=3,G56&lt;=8),0.5,0))</f>
        <v>0</v>
      </c>
      <c r="O56">
        <f>IF(AND(F56&gt;=270,F56&lt;=310),1,IF(AND(F56&gt;=250,F56&lt;=330),0.5,0))</f>
        <v>0</v>
      </c>
      <c r="P56">
        <f>IF(AND(E56&gt;=0.8,E56&lt;=1.5),1,IF(AND(E56&gt;=0.5,E56&lt;=2),0.5,0))</f>
        <v>0</v>
      </c>
      <c r="Q56">
        <f>IF(AND(H56&gt;=5000,H56&lt;=6000),1,IF(AND(H56&gt;=4000,H56&lt;5000),0.5,0))</f>
        <v>1</v>
      </c>
      <c r="R56">
        <f>0.35*AVERAGE(L56:M56:N56)+0.3*O56+0.2*P56+0.15*Q56</f>
        <v>0.26666666666666666</v>
      </c>
      <c r="S56" t="str">
        <f>LEFT(K56,1)</f>
        <v>K</v>
      </c>
      <c r="T56">
        <f>IF(S56="G",1,0)</f>
        <v>0</v>
      </c>
      <c r="U56">
        <f>IF(S56="K",1,0)</f>
        <v>1</v>
      </c>
      <c r="V56">
        <f>IF(S56="M",1,0)</f>
        <v>0</v>
      </c>
      <c r="W56">
        <f>IF(S56="F",1,0)</f>
        <v>0</v>
      </c>
    </row>
    <row r="57" spans="1:23" x14ac:dyDescent="0.3">
      <c r="A57" t="s">
        <v>737</v>
      </c>
      <c r="B57">
        <v>2.5453581399999998</v>
      </c>
      <c r="C57">
        <v>8.6999999999999993</v>
      </c>
      <c r="D57">
        <v>7.0491422999999998</v>
      </c>
      <c r="E57">
        <v>7.5999999999999998E-2</v>
      </c>
      <c r="F57">
        <v>1198.46</v>
      </c>
      <c r="G57">
        <f>IF(OR(C57="",B57="",B57=0),"",5.51*(C57/(B57^3)))</f>
        <v>2.9068602870771709</v>
      </c>
      <c r="H57">
        <v>6353</v>
      </c>
      <c r="I57">
        <v>2.9395458150417602</v>
      </c>
      <c r="J57">
        <v>-1.7999999999999999E-2</v>
      </c>
      <c r="L57">
        <f>IF(AND(B57&gt;=0.8,B57&lt;=1.5),1,IF(AND(B57&gt;=0.5,B57&lt;=2),0.5,0))</f>
        <v>0</v>
      </c>
      <c r="M57">
        <f>IF(AND(C57&gt;=0.5,C57&lt;=2),1,IF(AND(C57&gt;=0.1,C57&lt;=5),0.5,0))</f>
        <v>0</v>
      </c>
      <c r="N57">
        <f>IF(AND(G57&gt;=4,G57&lt;=7),1,IF(AND(G57&gt;=3,G57&lt;=8),0.5,0))</f>
        <v>0</v>
      </c>
      <c r="O57">
        <f>IF(AND(F57&gt;=270,F57&lt;=310),1,IF(AND(F57&gt;=250,F57&lt;=330),0.5,0))</f>
        <v>0</v>
      </c>
      <c r="P57">
        <f>IF(AND(E57&gt;=0.8,E57&lt;=1.5),1,IF(AND(E57&gt;=0.5,E57&lt;=2),0.5,0))</f>
        <v>0</v>
      </c>
      <c r="Q57">
        <f>IF(AND(H57&gt;=5000,H57&lt;=6000),1,IF(AND(H57&gt;=4000,H57&lt;5000),0.5,0))</f>
        <v>0</v>
      </c>
      <c r="R57">
        <f>0.35*AVERAGE(L57:M57:N57)+0.3*O57+0.2*P57+0.15*Q57</f>
        <v>0</v>
      </c>
      <c r="S57" t="str">
        <f>LEFT(K57,1)</f>
        <v/>
      </c>
      <c r="T57">
        <f>IF(S57="G",1,0)</f>
        <v>0</v>
      </c>
      <c r="U57">
        <f>IF(S57="K",1,0)</f>
        <v>0</v>
      </c>
      <c r="V57">
        <f>IF(S57="M",1,0)</f>
        <v>0</v>
      </c>
      <c r="W57">
        <f>IF(S57="F",1,0)</f>
        <v>0</v>
      </c>
    </row>
    <row r="58" spans="1:23" x14ac:dyDescent="0.3">
      <c r="A58" t="s">
        <v>736</v>
      </c>
      <c r="B58">
        <v>1.36354953</v>
      </c>
      <c r="C58">
        <v>4.3</v>
      </c>
      <c r="D58">
        <v>3.0440499999999999</v>
      </c>
      <c r="E58">
        <v>4.4299999999999999E-2</v>
      </c>
      <c r="F58">
        <v>1585.57</v>
      </c>
      <c r="G58">
        <f>IF(OR(C58="",B58="",B58=0),"",5.51*(C58/(B58^3)))</f>
        <v>9.3456023993102431</v>
      </c>
      <c r="H58">
        <v>6353</v>
      </c>
      <c r="I58">
        <v>2.9395458150417602</v>
      </c>
      <c r="J58">
        <v>-1.7999999999999999E-2</v>
      </c>
      <c r="L58">
        <f>IF(AND(B58&gt;=0.8,B58&lt;=1.5),1,IF(AND(B58&gt;=0.5,B58&lt;=2),0.5,0))</f>
        <v>1</v>
      </c>
      <c r="M58">
        <f>IF(AND(C58&gt;=0.5,C58&lt;=2),1,IF(AND(C58&gt;=0.1,C58&lt;=5),0.5,0))</f>
        <v>0.5</v>
      </c>
      <c r="N58">
        <f>IF(AND(G58&gt;=4,G58&lt;=7),1,IF(AND(G58&gt;=3,G58&lt;=8),0.5,0))</f>
        <v>0</v>
      </c>
      <c r="O58">
        <f>IF(AND(F58&gt;=270,F58&lt;=310),1,IF(AND(F58&gt;=250,F58&lt;=330),0.5,0))</f>
        <v>0</v>
      </c>
      <c r="P58">
        <f>IF(AND(E58&gt;=0.8,E58&lt;=1.5),1,IF(AND(E58&gt;=0.5,E58&lt;=2),0.5,0))</f>
        <v>0</v>
      </c>
      <c r="Q58">
        <f>IF(AND(H58&gt;=5000,H58&lt;=6000),1,IF(AND(H58&gt;=4000,H58&lt;5000),0.5,0))</f>
        <v>0</v>
      </c>
      <c r="R58">
        <f>0.35*AVERAGE(L58:M58:N58)+0.3*O58+0.2*P58+0.15*Q58</f>
        <v>0.17499999999999999</v>
      </c>
      <c r="S58" t="str">
        <f>LEFT(K58,1)</f>
        <v/>
      </c>
      <c r="T58">
        <f>IF(S58="G",1,0)</f>
        <v>0</v>
      </c>
      <c r="U58">
        <f>IF(S58="K",1,0)</f>
        <v>0</v>
      </c>
      <c r="V58">
        <f>IF(S58="M",1,0)</f>
        <v>0</v>
      </c>
      <c r="W58">
        <f>IF(S58="F",1,0)</f>
        <v>0</v>
      </c>
    </row>
    <row r="59" spans="1:23" x14ac:dyDescent="0.3">
      <c r="A59" t="s">
        <v>735</v>
      </c>
      <c r="B59">
        <v>1.24</v>
      </c>
      <c r="C59">
        <v>2.14</v>
      </c>
      <c r="D59">
        <v>2.76953</v>
      </c>
      <c r="E59">
        <v>2.9329999999999998E-2</v>
      </c>
      <c r="F59">
        <v>709</v>
      </c>
      <c r="G59">
        <f>IF(OR(C59="",B59="",B59=0),"",5.51*(C59/(B59^3)))</f>
        <v>6.1844390923433252</v>
      </c>
      <c r="H59">
        <v>3803</v>
      </c>
      <c r="I59">
        <v>3.6167974855444339E-2</v>
      </c>
      <c r="J59">
        <v>-0.43</v>
      </c>
      <c r="K59" t="s">
        <v>96</v>
      </c>
      <c r="L59">
        <f>IF(AND(B59&gt;=0.8,B59&lt;=1.5),1,IF(AND(B59&gt;=0.5,B59&lt;=2),0.5,0))</f>
        <v>1</v>
      </c>
      <c r="M59">
        <f>IF(AND(C59&gt;=0.5,C59&lt;=2),1,IF(AND(C59&gt;=0.1,C59&lt;=5),0.5,0))</f>
        <v>0.5</v>
      </c>
      <c r="N59">
        <f>IF(AND(G59&gt;=4,G59&lt;=7),1,IF(AND(G59&gt;=3,G59&lt;=8),0.5,0))</f>
        <v>1</v>
      </c>
      <c r="O59">
        <f>IF(AND(F59&gt;=270,F59&lt;=310),1,IF(AND(F59&gt;=250,F59&lt;=330),0.5,0))</f>
        <v>0</v>
      </c>
      <c r="P59">
        <f>IF(AND(E59&gt;=0.8,E59&lt;=1.5),1,IF(AND(E59&gt;=0.5,E59&lt;=2),0.5,0))</f>
        <v>0</v>
      </c>
      <c r="Q59">
        <f>IF(AND(H59&gt;=5000,H59&lt;=6000),1,IF(AND(H59&gt;=4000,H59&lt;5000),0.5,0))</f>
        <v>0</v>
      </c>
      <c r="R59">
        <f>0.35*AVERAGE(L59:M59:N59)+0.3*O59+0.2*P59+0.15*Q59</f>
        <v>0.29166666666666669</v>
      </c>
      <c r="S59" t="str">
        <f>LEFT(K59,1)</f>
        <v>M</v>
      </c>
      <c r="T59">
        <f>IF(S59="G",1,0)</f>
        <v>0</v>
      </c>
      <c r="U59">
        <f>IF(S59="K",1,0)</f>
        <v>0</v>
      </c>
      <c r="V59">
        <f>IF(S59="M",1,0)</f>
        <v>1</v>
      </c>
      <c r="W59">
        <f>IF(S59="F",1,0)</f>
        <v>0</v>
      </c>
    </row>
    <row r="60" spans="1:23" x14ac:dyDescent="0.3">
      <c r="A60" t="s">
        <v>734</v>
      </c>
      <c r="B60">
        <v>1.5329999999999999</v>
      </c>
      <c r="C60">
        <v>3.09</v>
      </c>
      <c r="D60">
        <v>5.7058799999999996</v>
      </c>
      <c r="E60">
        <v>4.7489999999999997E-2</v>
      </c>
      <c r="F60">
        <v>557</v>
      </c>
      <c r="G60">
        <f>IF(OR(C60="",B60="",B60=0),"",5.51*(C60/(B60^3)))</f>
        <v>4.7258900539170074</v>
      </c>
      <c r="H60">
        <v>3803</v>
      </c>
      <c r="I60">
        <v>3.6167974855444339E-2</v>
      </c>
      <c r="J60">
        <v>-0.43</v>
      </c>
      <c r="K60" t="s">
        <v>96</v>
      </c>
      <c r="L60">
        <f>IF(AND(B60&gt;=0.8,B60&lt;=1.5),1,IF(AND(B60&gt;=0.5,B60&lt;=2),0.5,0))</f>
        <v>0.5</v>
      </c>
      <c r="M60">
        <f>IF(AND(C60&gt;=0.5,C60&lt;=2),1,IF(AND(C60&gt;=0.1,C60&lt;=5),0.5,0))</f>
        <v>0.5</v>
      </c>
      <c r="N60">
        <f>IF(AND(G60&gt;=4,G60&lt;=7),1,IF(AND(G60&gt;=3,G60&lt;=8),0.5,0))</f>
        <v>1</v>
      </c>
      <c r="O60">
        <f>IF(AND(F60&gt;=270,F60&lt;=310),1,IF(AND(F60&gt;=250,F60&lt;=330),0.5,0))</f>
        <v>0</v>
      </c>
      <c r="P60">
        <f>IF(AND(E60&gt;=0.8,E60&lt;=1.5),1,IF(AND(E60&gt;=0.5,E60&lt;=2),0.5,0))</f>
        <v>0</v>
      </c>
      <c r="Q60">
        <f>IF(AND(H60&gt;=5000,H60&lt;=6000),1,IF(AND(H60&gt;=4000,H60&lt;5000),0.5,0))</f>
        <v>0</v>
      </c>
      <c r="R60">
        <f>0.35*AVERAGE(L60:M60:N60)+0.3*O60+0.2*P60+0.15*Q60</f>
        <v>0.23333333333333331</v>
      </c>
      <c r="S60" t="str">
        <f>LEFT(K60,1)</f>
        <v>M</v>
      </c>
      <c r="T60">
        <f>IF(S60="G",1,0)</f>
        <v>0</v>
      </c>
      <c r="U60">
        <f>IF(S60="K",1,0)</f>
        <v>0</v>
      </c>
      <c r="V60">
        <f>IF(S60="M",1,0)</f>
        <v>1</v>
      </c>
      <c r="W60">
        <f>IF(S60="F",1,0)</f>
        <v>0</v>
      </c>
    </row>
    <row r="61" spans="1:23" x14ac:dyDescent="0.3">
      <c r="A61" t="s">
        <v>733</v>
      </c>
      <c r="B61">
        <v>16.14096</v>
      </c>
      <c r="C61">
        <v>371.86110000000002</v>
      </c>
      <c r="D61">
        <v>4.1268799999999999</v>
      </c>
      <c r="E61">
        <v>5.6800000000000003E-2</v>
      </c>
      <c r="F61">
        <v>2061</v>
      </c>
      <c r="G61">
        <f>IF(OR(C61="",B61="",B61=0),"",5.51*(C61/(B61^3)))</f>
        <v>0.48724149236220354</v>
      </c>
      <c r="H61">
        <v>6801</v>
      </c>
      <c r="I61">
        <v>4.6712181109012683</v>
      </c>
      <c r="J61">
        <v>0.02</v>
      </c>
      <c r="L61">
        <f>IF(AND(B61&gt;=0.8,B61&lt;=1.5),1,IF(AND(B61&gt;=0.5,B61&lt;=2),0.5,0))</f>
        <v>0</v>
      </c>
      <c r="M61">
        <f>IF(AND(C61&gt;=0.5,C61&lt;=2),1,IF(AND(C61&gt;=0.1,C61&lt;=5),0.5,0))</f>
        <v>0</v>
      </c>
      <c r="N61">
        <f>IF(AND(G61&gt;=4,G61&lt;=7),1,IF(AND(G61&gt;=3,G61&lt;=8),0.5,0))</f>
        <v>0</v>
      </c>
      <c r="O61">
        <f>IF(AND(F61&gt;=270,F61&lt;=310),1,IF(AND(F61&gt;=250,F61&lt;=330),0.5,0))</f>
        <v>0</v>
      </c>
      <c r="P61">
        <f>IF(AND(E61&gt;=0.8,E61&lt;=1.5),1,IF(AND(E61&gt;=0.5,E61&lt;=2),0.5,0))</f>
        <v>0</v>
      </c>
      <c r="Q61">
        <f>IF(AND(H61&gt;=5000,H61&lt;=6000),1,IF(AND(H61&gt;=4000,H61&lt;5000),0.5,0))</f>
        <v>0</v>
      </c>
      <c r="R61">
        <f>0.35*AVERAGE(L61:M61:N61)+0.3*O61+0.2*P61+0.15*Q61</f>
        <v>0</v>
      </c>
      <c r="S61" t="str">
        <f>LEFT(K61,1)</f>
        <v/>
      </c>
      <c r="T61">
        <f>IF(S61="G",1,0)</f>
        <v>0</v>
      </c>
      <c r="U61">
        <f>IF(S61="K",1,0)</f>
        <v>0</v>
      </c>
      <c r="V61">
        <f>IF(S61="M",1,0)</f>
        <v>0</v>
      </c>
      <c r="W61">
        <f>IF(S61="F",1,0)</f>
        <v>0</v>
      </c>
    </row>
    <row r="62" spans="1:23" x14ac:dyDescent="0.3">
      <c r="A62" t="s">
        <v>732</v>
      </c>
      <c r="B62">
        <v>2.69</v>
      </c>
      <c r="C62">
        <v>6.2</v>
      </c>
      <c r="D62">
        <v>22.891054</v>
      </c>
      <c r="F62">
        <v>867</v>
      </c>
      <c r="G62">
        <f>IF(OR(C62="",B62="",B62=0),"",5.51*(C62/(B62^3)))</f>
        <v>1.7550376933414553</v>
      </c>
      <c r="H62">
        <v>6189</v>
      </c>
      <c r="I62">
        <v>2.6730156989417546</v>
      </c>
      <c r="J62">
        <v>0.1</v>
      </c>
      <c r="K62" t="s">
        <v>72</v>
      </c>
      <c r="L62">
        <f>IF(AND(B62&gt;=0.8,B62&lt;=1.5),1,IF(AND(B62&gt;=0.5,B62&lt;=2),0.5,0))</f>
        <v>0</v>
      </c>
      <c r="M62">
        <f>IF(AND(C62&gt;=0.5,C62&lt;=2),1,IF(AND(C62&gt;=0.1,C62&lt;=5),0.5,0))</f>
        <v>0</v>
      </c>
      <c r="N62">
        <f>IF(AND(G62&gt;=4,G62&lt;=7),1,IF(AND(G62&gt;=3,G62&lt;=8),0.5,0))</f>
        <v>0</v>
      </c>
      <c r="O62">
        <f>IF(AND(F62&gt;=270,F62&lt;=310),1,IF(AND(F62&gt;=250,F62&lt;=330),0.5,0))</f>
        <v>0</v>
      </c>
      <c r="P62">
        <f>IF(AND(E62&gt;=0.8,E62&lt;=1.5),1,IF(AND(E62&gt;=0.5,E62&lt;=2),0.5,0))</f>
        <v>0</v>
      </c>
      <c r="Q62">
        <f>IF(AND(H62&gt;=5000,H62&lt;=6000),1,IF(AND(H62&gt;=4000,H62&lt;5000),0.5,0))</f>
        <v>0</v>
      </c>
      <c r="R62">
        <f>0.35*AVERAGE(L62:M62:N62)+0.3*O62+0.2*P62+0.15*Q62</f>
        <v>0</v>
      </c>
      <c r="S62" t="str">
        <f>LEFT(K62,1)</f>
        <v>F</v>
      </c>
      <c r="T62">
        <f>IF(S62="G",1,0)</f>
        <v>0</v>
      </c>
      <c r="U62">
        <f>IF(S62="K",1,0)</f>
        <v>0</v>
      </c>
      <c r="V62">
        <f>IF(S62="M",1,0)</f>
        <v>0</v>
      </c>
      <c r="W62">
        <f>IF(S62="F",1,0)</f>
        <v>1</v>
      </c>
    </row>
    <row r="63" spans="1:23" x14ac:dyDescent="0.3">
      <c r="A63" t="s">
        <v>731</v>
      </c>
      <c r="B63">
        <v>4.13</v>
      </c>
      <c r="C63">
        <v>9.1999999999999993</v>
      </c>
      <c r="D63">
        <v>55.997120000000002</v>
      </c>
      <c r="F63">
        <v>643</v>
      </c>
      <c r="G63">
        <f>IF(OR(C63="",B63="",B63=0),"",5.51*(C63/(B63^3)))</f>
        <v>0.71959687925034621</v>
      </c>
      <c r="H63">
        <v>6189</v>
      </c>
      <c r="I63">
        <v>2.6730156989417546</v>
      </c>
      <c r="J63">
        <v>0.1</v>
      </c>
      <c r="K63" t="s">
        <v>72</v>
      </c>
      <c r="L63">
        <f>IF(AND(B63&gt;=0.8,B63&lt;=1.5),1,IF(AND(B63&gt;=0.5,B63&lt;=2),0.5,0))</f>
        <v>0</v>
      </c>
      <c r="M63">
        <f>IF(AND(C63&gt;=0.5,C63&lt;=2),1,IF(AND(C63&gt;=0.1,C63&lt;=5),0.5,0))</f>
        <v>0</v>
      </c>
      <c r="N63">
        <f>IF(AND(G63&gt;=4,G63&lt;=7),1,IF(AND(G63&gt;=3,G63&lt;=8),0.5,0))</f>
        <v>0</v>
      </c>
      <c r="O63">
        <f>IF(AND(F63&gt;=270,F63&lt;=310),1,IF(AND(F63&gt;=250,F63&lt;=330),0.5,0))</f>
        <v>0</v>
      </c>
      <c r="P63">
        <f>IF(AND(E63&gt;=0.8,E63&lt;=1.5),1,IF(AND(E63&gt;=0.5,E63&lt;=2),0.5,0))</f>
        <v>0</v>
      </c>
      <c r="Q63">
        <f>IF(AND(H63&gt;=5000,H63&lt;=6000),1,IF(AND(H63&gt;=4000,H63&lt;5000),0.5,0))</f>
        <v>0</v>
      </c>
      <c r="R63">
        <f>0.35*AVERAGE(L63:M63:N63)+0.3*O63+0.2*P63+0.15*Q63</f>
        <v>0</v>
      </c>
      <c r="S63" t="str">
        <f>LEFT(K63,1)</f>
        <v>F</v>
      </c>
      <c r="T63">
        <f>IF(S63="G",1,0)</f>
        <v>0</v>
      </c>
      <c r="U63">
        <f>IF(S63="K",1,0)</f>
        <v>0</v>
      </c>
      <c r="V63">
        <f>IF(S63="M",1,0)</f>
        <v>0</v>
      </c>
      <c r="W63">
        <f>IF(S63="F",1,0)</f>
        <v>1</v>
      </c>
    </row>
    <row r="64" spans="1:23" x14ac:dyDescent="0.3">
      <c r="A64" t="s">
        <v>730</v>
      </c>
      <c r="B64">
        <v>3.11</v>
      </c>
      <c r="C64">
        <v>5.8</v>
      </c>
      <c r="D64">
        <v>84.289900000000003</v>
      </c>
      <c r="F64">
        <v>561</v>
      </c>
      <c r="G64">
        <f>IF(OR(C64="",B64="",B64=0),"",5.51*(C64/(B64^3)))</f>
        <v>1.0624253517202047</v>
      </c>
      <c r="H64">
        <v>6189</v>
      </c>
      <c r="I64">
        <v>2.6730156989417546</v>
      </c>
      <c r="J64">
        <v>0.1</v>
      </c>
      <c r="K64" t="s">
        <v>72</v>
      </c>
      <c r="L64">
        <f>IF(AND(B64&gt;=0.8,B64&lt;=1.5),1,IF(AND(B64&gt;=0.5,B64&lt;=2),0.5,0))</f>
        <v>0</v>
      </c>
      <c r="M64">
        <f>IF(AND(C64&gt;=0.5,C64&lt;=2),1,IF(AND(C64&gt;=0.1,C64&lt;=5),0.5,0))</f>
        <v>0</v>
      </c>
      <c r="N64">
        <f>IF(AND(G64&gt;=4,G64&lt;=7),1,IF(AND(G64&gt;=3,G64&lt;=8),0.5,0))</f>
        <v>0</v>
      </c>
      <c r="O64">
        <f>IF(AND(F64&gt;=270,F64&lt;=310),1,IF(AND(F64&gt;=250,F64&lt;=330),0.5,0))</f>
        <v>0</v>
      </c>
      <c r="P64">
        <f>IF(AND(E64&gt;=0.8,E64&lt;=1.5),1,IF(AND(E64&gt;=0.5,E64&lt;=2),0.5,0))</f>
        <v>0</v>
      </c>
      <c r="Q64">
        <f>IF(AND(H64&gt;=5000,H64&lt;=6000),1,IF(AND(H64&gt;=4000,H64&lt;5000),0.5,0))</f>
        <v>0</v>
      </c>
      <c r="R64">
        <f>0.35*AVERAGE(L64:M64:N64)+0.3*O64+0.2*P64+0.15*Q64</f>
        <v>0</v>
      </c>
      <c r="S64" t="str">
        <f>LEFT(K64,1)</f>
        <v>F</v>
      </c>
      <c r="T64">
        <f>IF(S64="G",1,0)</f>
        <v>0</v>
      </c>
      <c r="U64">
        <f>IF(S64="K",1,0)</f>
        <v>0</v>
      </c>
      <c r="V64">
        <f>IF(S64="M",1,0)</f>
        <v>0</v>
      </c>
      <c r="W64">
        <f>IF(S64="F",1,0)</f>
        <v>1</v>
      </c>
    </row>
    <row r="65" spans="1:23" x14ac:dyDescent="0.3">
      <c r="A65" t="s">
        <v>729</v>
      </c>
      <c r="B65">
        <v>9.0730330499999994</v>
      </c>
      <c r="C65">
        <v>74.099999999999994</v>
      </c>
      <c r="D65">
        <v>18.712024</v>
      </c>
      <c r="E65">
        <v>0.14499999999999999</v>
      </c>
      <c r="F65">
        <v>798.3</v>
      </c>
      <c r="G65">
        <f>IF(OR(C65="",B65="",B65=0),"",5.51*(C65/(B65^3)))</f>
        <v>0.54665374565738623</v>
      </c>
      <c r="H65">
        <v>6128</v>
      </c>
      <c r="I65">
        <v>2.0278334741535846</v>
      </c>
      <c r="J65">
        <v>4.2999999999999997E-2</v>
      </c>
      <c r="L65">
        <f>IF(AND(B65&gt;=0.8,B65&lt;=1.5),1,IF(AND(B65&gt;=0.5,B65&lt;=2),0.5,0))</f>
        <v>0</v>
      </c>
      <c r="M65">
        <f>IF(AND(C65&gt;=0.5,C65&lt;=2),1,IF(AND(C65&gt;=0.1,C65&lt;=5),0.5,0))</f>
        <v>0</v>
      </c>
      <c r="N65">
        <f>IF(AND(G65&gt;=4,G65&lt;=7),1,IF(AND(G65&gt;=3,G65&lt;=8),0.5,0))</f>
        <v>0</v>
      </c>
      <c r="O65">
        <f>IF(AND(F65&gt;=270,F65&lt;=310),1,IF(AND(F65&gt;=250,F65&lt;=330),0.5,0))</f>
        <v>0</v>
      </c>
      <c r="P65">
        <f>IF(AND(E65&gt;=0.8,E65&lt;=1.5),1,IF(AND(E65&gt;=0.5,E65&lt;=2),0.5,0))</f>
        <v>0</v>
      </c>
      <c r="Q65">
        <f>IF(AND(H65&gt;=5000,H65&lt;=6000),1,IF(AND(H65&gt;=4000,H65&lt;5000),0.5,0))</f>
        <v>0</v>
      </c>
      <c r="R65">
        <f>0.35*AVERAGE(L65:M65:N65)+0.3*O65+0.2*P65+0.15*Q65</f>
        <v>0</v>
      </c>
      <c r="S65" t="str">
        <f>LEFT(K65,1)</f>
        <v/>
      </c>
      <c r="T65">
        <f>IF(S65="G",1,0)</f>
        <v>0</v>
      </c>
      <c r="U65">
        <f>IF(S65="K",1,0)</f>
        <v>0</v>
      </c>
      <c r="V65">
        <f>IF(S65="M",1,0)</f>
        <v>0</v>
      </c>
      <c r="W65">
        <f>IF(S65="F",1,0)</f>
        <v>0</v>
      </c>
    </row>
    <row r="66" spans="1:23" x14ac:dyDescent="0.3">
      <c r="A66" t="s">
        <v>728</v>
      </c>
      <c r="B66">
        <v>2.54</v>
      </c>
      <c r="C66">
        <v>11.32</v>
      </c>
      <c r="D66">
        <v>46.962200000000003</v>
      </c>
      <c r="E66">
        <v>0.25</v>
      </c>
      <c r="F66">
        <v>479</v>
      </c>
      <c r="G66">
        <f>IF(OR(C66="",B66="",B66=0),"",5.51*(C66/(B66^3)))</f>
        <v>3.8062461951695563</v>
      </c>
      <c r="H66">
        <v>5666</v>
      </c>
      <c r="I66">
        <v>0.74401384430186479</v>
      </c>
      <c r="J66">
        <v>-0.27</v>
      </c>
      <c r="L66">
        <f>IF(AND(B66&gt;=0.8,B66&lt;=1.5),1,IF(AND(B66&gt;=0.5,B66&lt;=2),0.5,0))</f>
        <v>0</v>
      </c>
      <c r="M66">
        <f>IF(AND(C66&gt;=0.5,C66&lt;=2),1,IF(AND(C66&gt;=0.1,C66&lt;=5),0.5,0))</f>
        <v>0</v>
      </c>
      <c r="N66">
        <f>IF(AND(G66&gt;=4,G66&lt;=7),1,IF(AND(G66&gt;=3,G66&lt;=8),0.5,0))</f>
        <v>0.5</v>
      </c>
      <c r="O66">
        <f>IF(AND(F66&gt;=270,F66&lt;=310),1,IF(AND(F66&gt;=250,F66&lt;=330),0.5,0))</f>
        <v>0</v>
      </c>
      <c r="P66">
        <f>IF(AND(E66&gt;=0.8,E66&lt;=1.5),1,IF(AND(E66&gt;=0.5,E66&lt;=2),0.5,0))</f>
        <v>0</v>
      </c>
      <c r="Q66">
        <f>IF(AND(H66&gt;=5000,H66&lt;=6000),1,IF(AND(H66&gt;=4000,H66&lt;5000),0.5,0))</f>
        <v>1</v>
      </c>
      <c r="R66">
        <f>0.35*AVERAGE(L66:M66:N66)+0.3*O66+0.2*P66+0.15*Q66</f>
        <v>0.20833333333333331</v>
      </c>
      <c r="S66" t="str">
        <f>LEFT(K66,1)</f>
        <v/>
      </c>
      <c r="T66">
        <f>IF(S66="G",1,0)</f>
        <v>0</v>
      </c>
      <c r="U66">
        <f>IF(S66="K",1,0)</f>
        <v>0</v>
      </c>
      <c r="V66">
        <f>IF(S66="M",1,0)</f>
        <v>0</v>
      </c>
      <c r="W66">
        <f>IF(S66="F",1,0)</f>
        <v>0</v>
      </c>
    </row>
    <row r="67" spans="1:23" x14ac:dyDescent="0.3">
      <c r="A67" t="s">
        <v>727</v>
      </c>
      <c r="B67">
        <v>3.41</v>
      </c>
      <c r="C67">
        <v>9.1</v>
      </c>
      <c r="D67">
        <v>13.6308205</v>
      </c>
      <c r="E67">
        <v>0.111</v>
      </c>
      <c r="F67">
        <v>716</v>
      </c>
      <c r="G67">
        <f>IF(OR(C67="",B67="",B67=0),"",5.51*(C67/(B67^3)))</f>
        <v>1.2645320879462254</v>
      </c>
      <c r="H67">
        <v>5289</v>
      </c>
      <c r="I67">
        <v>0.67427377615069373</v>
      </c>
      <c r="J67">
        <v>0.24</v>
      </c>
      <c r="L67">
        <f>IF(AND(B67&gt;=0.8,B67&lt;=1.5),1,IF(AND(B67&gt;=0.5,B67&lt;=2),0.5,0))</f>
        <v>0</v>
      </c>
      <c r="M67">
        <f>IF(AND(C67&gt;=0.5,C67&lt;=2),1,IF(AND(C67&gt;=0.1,C67&lt;=5),0.5,0))</f>
        <v>0</v>
      </c>
      <c r="N67">
        <f>IF(AND(G67&gt;=4,G67&lt;=7),1,IF(AND(G67&gt;=3,G67&lt;=8),0.5,0))</f>
        <v>0</v>
      </c>
      <c r="O67">
        <f>IF(AND(F67&gt;=270,F67&lt;=310),1,IF(AND(F67&gt;=250,F67&lt;=330),0.5,0))</f>
        <v>0</v>
      </c>
      <c r="P67">
        <f>IF(AND(E67&gt;=0.8,E67&lt;=1.5),1,IF(AND(E67&gt;=0.5,E67&lt;=2),0.5,0))</f>
        <v>0</v>
      </c>
      <c r="Q67">
        <f>IF(AND(H67&gt;=5000,H67&lt;=6000),1,IF(AND(H67&gt;=4000,H67&lt;5000),0.5,0))</f>
        <v>1</v>
      </c>
      <c r="R67">
        <f>0.35*AVERAGE(L67:M67:N67)+0.3*O67+0.2*P67+0.15*Q67</f>
        <v>0.15</v>
      </c>
      <c r="S67" t="str">
        <f>LEFT(K67,1)</f>
        <v/>
      </c>
      <c r="T67">
        <f>IF(S67="G",1,0)</f>
        <v>0</v>
      </c>
      <c r="U67">
        <f>IF(S67="K",1,0)</f>
        <v>0</v>
      </c>
      <c r="V67">
        <f>IF(S67="M",1,0)</f>
        <v>0</v>
      </c>
      <c r="W67">
        <f>IF(S67="F",1,0)</f>
        <v>0</v>
      </c>
    </row>
    <row r="68" spans="1:23" x14ac:dyDescent="0.3">
      <c r="A68" t="s">
        <v>726</v>
      </c>
      <c r="B68">
        <v>2.4500000000000002</v>
      </c>
      <c r="C68">
        <v>7.8</v>
      </c>
      <c r="D68">
        <v>14.339155999999999</v>
      </c>
      <c r="E68">
        <v>0.1202</v>
      </c>
      <c r="F68">
        <v>943</v>
      </c>
      <c r="G68">
        <f>IF(OR(C68="",B68="",B68=0),"",5.51*(C68/(B68^3)))</f>
        <v>2.922455779479638</v>
      </c>
      <c r="H68">
        <v>6203</v>
      </c>
      <c r="I68">
        <v>1.8936757957180075</v>
      </c>
      <c r="J68">
        <v>-0.12</v>
      </c>
      <c r="K68" t="s">
        <v>141</v>
      </c>
      <c r="L68">
        <f>IF(AND(B68&gt;=0.8,B68&lt;=1.5),1,IF(AND(B68&gt;=0.5,B68&lt;=2),0.5,0))</f>
        <v>0</v>
      </c>
      <c r="M68">
        <f>IF(AND(C68&gt;=0.5,C68&lt;=2),1,IF(AND(C68&gt;=0.1,C68&lt;=5),0.5,0))</f>
        <v>0</v>
      </c>
      <c r="N68">
        <f>IF(AND(G68&gt;=4,G68&lt;=7),1,IF(AND(G68&gt;=3,G68&lt;=8),0.5,0))</f>
        <v>0</v>
      </c>
      <c r="O68">
        <f>IF(AND(F68&gt;=270,F68&lt;=310),1,IF(AND(F68&gt;=250,F68&lt;=330),0.5,0))</f>
        <v>0</v>
      </c>
      <c r="P68">
        <f>IF(AND(E68&gt;=0.8,E68&lt;=1.5),1,IF(AND(E68&gt;=0.5,E68&lt;=2),0.5,0))</f>
        <v>0</v>
      </c>
      <c r="Q68">
        <f>IF(AND(H68&gt;=5000,H68&lt;=6000),1,IF(AND(H68&gt;=4000,H68&lt;5000),0.5,0))</f>
        <v>0</v>
      </c>
      <c r="R68">
        <f>0.35*AVERAGE(L68:M68:N68)+0.3*O68+0.2*P68+0.15*Q68</f>
        <v>0</v>
      </c>
      <c r="S68" t="str">
        <f>LEFT(K68,1)</f>
        <v>F</v>
      </c>
      <c r="T68">
        <f>IF(S68="G",1,0)</f>
        <v>0</v>
      </c>
      <c r="U68">
        <f>IF(S68="K",1,0)</f>
        <v>0</v>
      </c>
      <c r="V68">
        <f>IF(S68="M",1,0)</f>
        <v>0</v>
      </c>
      <c r="W68">
        <f>IF(S68="F",1,0)</f>
        <v>1</v>
      </c>
    </row>
    <row r="69" spans="1:23" x14ac:dyDescent="0.3">
      <c r="A69" t="s">
        <v>725</v>
      </c>
      <c r="B69">
        <v>3.71</v>
      </c>
      <c r="D69">
        <v>29.04992</v>
      </c>
      <c r="E69">
        <v>0.22900000000000001</v>
      </c>
      <c r="F69">
        <v>1133</v>
      </c>
      <c r="G69" t="str">
        <f>IF(OR(C69="",B69="",B69=0),"",5.51*(C69/(B69^3)))</f>
        <v/>
      </c>
      <c r="H69">
        <v>8500</v>
      </c>
      <c r="I69">
        <v>14.359451297597655</v>
      </c>
      <c r="J69">
        <v>0</v>
      </c>
      <c r="L69">
        <f>IF(AND(B69&gt;=0.8,B69&lt;=1.5),1,IF(AND(B69&gt;=0.5,B69&lt;=2),0.5,0))</f>
        <v>0</v>
      </c>
      <c r="M69">
        <f>IF(AND(C69&gt;=0.5,C69&lt;=2),1,IF(AND(C69&gt;=0.1,C69&lt;=5),0.5,0))</f>
        <v>0</v>
      </c>
      <c r="N69">
        <f>IF(AND(G69&gt;=4,G69&lt;=7),1,IF(AND(G69&gt;=3,G69&lt;=8),0.5,0))</f>
        <v>0</v>
      </c>
      <c r="O69">
        <f>IF(AND(F69&gt;=270,F69&lt;=310),1,IF(AND(F69&gt;=250,F69&lt;=330),0.5,0))</f>
        <v>0</v>
      </c>
      <c r="P69">
        <f>IF(AND(E69&gt;=0.8,E69&lt;=1.5),1,IF(AND(E69&gt;=0.5,E69&lt;=2),0.5,0))</f>
        <v>0</v>
      </c>
      <c r="Q69">
        <f>IF(AND(H69&gt;=5000,H69&lt;=6000),1,IF(AND(H69&gt;=4000,H69&lt;5000),0.5,0))</f>
        <v>0</v>
      </c>
      <c r="R69">
        <f>0.35*AVERAGE(L69:M69:N69)+0.3*O69+0.2*P69+0.15*Q69</f>
        <v>0</v>
      </c>
      <c r="S69" t="str">
        <f>LEFT(K69,1)</f>
        <v/>
      </c>
      <c r="T69">
        <f>IF(S69="G",1,0)</f>
        <v>0</v>
      </c>
      <c r="U69">
        <f>IF(S69="K",1,0)</f>
        <v>0</v>
      </c>
      <c r="V69">
        <f>IF(S69="M",1,0)</f>
        <v>0</v>
      </c>
      <c r="W69">
        <f>IF(S69="F",1,0)</f>
        <v>0</v>
      </c>
    </row>
    <row r="70" spans="1:23" x14ac:dyDescent="0.3">
      <c r="A70" t="s">
        <v>724</v>
      </c>
      <c r="B70">
        <v>2.4276355700000001</v>
      </c>
      <c r="C70">
        <v>10</v>
      </c>
      <c r="D70">
        <v>5.2549000000000001</v>
      </c>
      <c r="E70">
        <v>0.06</v>
      </c>
      <c r="F70">
        <v>1075.31</v>
      </c>
      <c r="G70">
        <f>IF(OR(C70="",B70="",B70=0),"",5.51*(C70/(B70^3)))</f>
        <v>3.8512447762408679</v>
      </c>
      <c r="H70">
        <v>5934</v>
      </c>
      <c r="I70">
        <v>1.1285256956946099</v>
      </c>
      <c r="J70">
        <v>-0.05</v>
      </c>
      <c r="L70">
        <f>IF(AND(B70&gt;=0.8,B70&lt;=1.5),1,IF(AND(B70&gt;=0.5,B70&lt;=2),0.5,0))</f>
        <v>0</v>
      </c>
      <c r="M70">
        <f>IF(AND(C70&gt;=0.5,C70&lt;=2),1,IF(AND(C70&gt;=0.1,C70&lt;=5),0.5,0))</f>
        <v>0</v>
      </c>
      <c r="N70">
        <f>IF(AND(G70&gt;=4,G70&lt;=7),1,IF(AND(G70&gt;=3,G70&lt;=8),0.5,0))</f>
        <v>0.5</v>
      </c>
      <c r="O70">
        <f>IF(AND(F70&gt;=270,F70&lt;=310),1,IF(AND(F70&gt;=250,F70&lt;=330),0.5,0))</f>
        <v>0</v>
      </c>
      <c r="P70">
        <f>IF(AND(E70&gt;=0.8,E70&lt;=1.5),1,IF(AND(E70&gt;=0.5,E70&lt;=2),0.5,0))</f>
        <v>0</v>
      </c>
      <c r="Q70">
        <f>IF(AND(H70&gt;=5000,H70&lt;=6000),1,IF(AND(H70&gt;=4000,H70&lt;5000),0.5,0))</f>
        <v>1</v>
      </c>
      <c r="R70">
        <f>0.35*AVERAGE(L70:M70:N70)+0.3*O70+0.2*P70+0.15*Q70</f>
        <v>0.20833333333333331</v>
      </c>
      <c r="S70" t="str">
        <f>LEFT(K70,1)</f>
        <v/>
      </c>
      <c r="T70">
        <f>IF(S70="G",1,0)</f>
        <v>0</v>
      </c>
      <c r="U70">
        <f>IF(S70="K",1,0)</f>
        <v>0</v>
      </c>
      <c r="V70">
        <f>IF(S70="M",1,0)</f>
        <v>0</v>
      </c>
      <c r="W70">
        <f>IF(S70="F",1,0)</f>
        <v>0</v>
      </c>
    </row>
    <row r="71" spans="1:23" x14ac:dyDescent="0.3">
      <c r="A71" t="s">
        <v>723</v>
      </c>
      <c r="B71">
        <v>2.14</v>
      </c>
      <c r="C71">
        <v>21.754999999999999</v>
      </c>
      <c r="D71">
        <v>7.1079474999999999</v>
      </c>
      <c r="F71">
        <v>967.11</v>
      </c>
      <c r="G71">
        <f>IF(OR(C71="",B71="",B71=0),"",5.51*(C71/(B71^3)))</f>
        <v>12.231208414725032</v>
      </c>
      <c r="H71">
        <v>5553</v>
      </c>
      <c r="I71">
        <v>0.74420793501878935</v>
      </c>
      <c r="J71">
        <v>-7.0000000000000007E-2</v>
      </c>
      <c r="K71" t="s">
        <v>641</v>
      </c>
      <c r="L71">
        <f>IF(AND(B71&gt;=0.8,B71&lt;=1.5),1,IF(AND(B71&gt;=0.5,B71&lt;=2),0.5,0))</f>
        <v>0</v>
      </c>
      <c r="M71">
        <f>IF(AND(C71&gt;=0.5,C71&lt;=2),1,IF(AND(C71&gt;=0.1,C71&lt;=5),0.5,0))</f>
        <v>0</v>
      </c>
      <c r="N71">
        <f>IF(AND(G71&gt;=4,G71&lt;=7),1,IF(AND(G71&gt;=3,G71&lt;=8),0.5,0))</f>
        <v>0</v>
      </c>
      <c r="O71">
        <f>IF(AND(F71&gt;=270,F71&lt;=310),1,IF(AND(F71&gt;=250,F71&lt;=330),0.5,0))</f>
        <v>0</v>
      </c>
      <c r="P71">
        <f>IF(AND(E71&gt;=0.8,E71&lt;=1.5),1,IF(AND(E71&gt;=0.5,E71&lt;=2),0.5,0))</f>
        <v>0</v>
      </c>
      <c r="Q71">
        <f>IF(AND(H71&gt;=5000,H71&lt;=6000),1,IF(AND(H71&gt;=4000,H71&lt;5000),0.5,0))</f>
        <v>1</v>
      </c>
      <c r="R71">
        <f>0.35*AVERAGE(L71:M71:N71)+0.3*O71+0.2*P71+0.15*Q71</f>
        <v>0.15</v>
      </c>
      <c r="S71" t="str">
        <f>LEFT(K71,1)</f>
        <v>G</v>
      </c>
      <c r="T71">
        <f>IF(S71="G",1,0)</f>
        <v>1</v>
      </c>
      <c r="U71">
        <f>IF(S71="K",1,0)</f>
        <v>0</v>
      </c>
      <c r="V71">
        <f>IF(S71="M",1,0)</f>
        <v>0</v>
      </c>
      <c r="W71">
        <f>IF(S71="F",1,0)</f>
        <v>0</v>
      </c>
    </row>
    <row r="72" spans="1:23" x14ac:dyDescent="0.3">
      <c r="A72" t="s">
        <v>722</v>
      </c>
      <c r="B72">
        <v>2.6920000000000002</v>
      </c>
      <c r="C72">
        <v>15.539</v>
      </c>
      <c r="D72">
        <v>20.543828099999999</v>
      </c>
      <c r="F72">
        <v>678.92</v>
      </c>
      <c r="G72">
        <f>IF(OR(C72="",B72="",B72=0),"",5.51*(C72/(B72^3)))</f>
        <v>4.3888374779699131</v>
      </c>
      <c r="H72">
        <v>5553</v>
      </c>
      <c r="I72">
        <v>0.74420793501878935</v>
      </c>
      <c r="J72">
        <v>-7.0000000000000007E-2</v>
      </c>
      <c r="K72" t="s">
        <v>641</v>
      </c>
      <c r="L72">
        <f>IF(AND(B72&gt;=0.8,B72&lt;=1.5),1,IF(AND(B72&gt;=0.5,B72&lt;=2),0.5,0))</f>
        <v>0</v>
      </c>
      <c r="M72">
        <f>IF(AND(C72&gt;=0.5,C72&lt;=2),1,IF(AND(C72&gt;=0.1,C72&lt;=5),0.5,0))</f>
        <v>0</v>
      </c>
      <c r="N72">
        <f>IF(AND(G72&gt;=4,G72&lt;=7),1,IF(AND(G72&gt;=3,G72&lt;=8),0.5,0))</f>
        <v>1</v>
      </c>
      <c r="O72">
        <f>IF(AND(F72&gt;=270,F72&lt;=310),1,IF(AND(F72&gt;=250,F72&lt;=330),0.5,0))</f>
        <v>0</v>
      </c>
      <c r="P72">
        <f>IF(AND(E72&gt;=0.8,E72&lt;=1.5),1,IF(AND(E72&gt;=0.5,E72&lt;=2),0.5,0))</f>
        <v>0</v>
      </c>
      <c r="Q72">
        <f>IF(AND(H72&gt;=5000,H72&lt;=6000),1,IF(AND(H72&gt;=4000,H72&lt;5000),0.5,0))</f>
        <v>1</v>
      </c>
      <c r="R72">
        <f>0.35*AVERAGE(L72:M72:N72)+0.3*O72+0.2*P72+0.15*Q72</f>
        <v>0.26666666666666666</v>
      </c>
      <c r="S72" t="str">
        <f>LEFT(K72,1)</f>
        <v>G</v>
      </c>
      <c r="T72">
        <f>IF(S72="G",1,0)</f>
        <v>1</v>
      </c>
      <c r="U72">
        <f>IF(S72="K",1,0)</f>
        <v>0</v>
      </c>
      <c r="V72">
        <f>IF(S72="M",1,0)</f>
        <v>0</v>
      </c>
      <c r="W72">
        <f>IF(S72="F",1,0)</f>
        <v>0</v>
      </c>
    </row>
    <row r="73" spans="1:23" x14ac:dyDescent="0.3">
      <c r="A73" t="s">
        <v>721</v>
      </c>
      <c r="B73">
        <v>1.073</v>
      </c>
      <c r="D73">
        <v>4.2090750000000003</v>
      </c>
      <c r="E73">
        <v>5.0299999999999997E-2</v>
      </c>
      <c r="F73">
        <v>1040</v>
      </c>
      <c r="G73" t="str">
        <f>IF(OR(C73="",B73="",B73=0),"",5.51*(C73/(B73^3)))</f>
        <v/>
      </c>
      <c r="H73">
        <v>5688</v>
      </c>
      <c r="I73">
        <v>0.78112021542473598</v>
      </c>
      <c r="J73">
        <v>0.03</v>
      </c>
      <c r="K73" t="s">
        <v>641</v>
      </c>
      <c r="L73">
        <f>IF(AND(B73&gt;=0.8,B73&lt;=1.5),1,IF(AND(B73&gt;=0.5,B73&lt;=2),0.5,0))</f>
        <v>1</v>
      </c>
      <c r="M73">
        <f>IF(AND(C73&gt;=0.5,C73&lt;=2),1,IF(AND(C73&gt;=0.1,C73&lt;=5),0.5,0))</f>
        <v>0</v>
      </c>
      <c r="N73">
        <f>IF(AND(G73&gt;=4,G73&lt;=7),1,IF(AND(G73&gt;=3,G73&lt;=8),0.5,0))</f>
        <v>0</v>
      </c>
      <c r="O73">
        <f>IF(AND(F73&gt;=270,F73&lt;=310),1,IF(AND(F73&gt;=250,F73&lt;=330),0.5,0))</f>
        <v>0</v>
      </c>
      <c r="P73">
        <f>IF(AND(E73&gt;=0.8,E73&lt;=1.5),1,IF(AND(E73&gt;=0.5,E73&lt;=2),0.5,0))</f>
        <v>0</v>
      </c>
      <c r="Q73">
        <f>IF(AND(H73&gt;=5000,H73&lt;=6000),1,IF(AND(H73&gt;=4000,H73&lt;5000),0.5,0))</f>
        <v>1</v>
      </c>
      <c r="R73">
        <f>0.35*AVERAGE(L73:M73:N73)+0.3*O73+0.2*P73+0.15*Q73</f>
        <v>0.26666666666666666</v>
      </c>
      <c r="S73" t="str">
        <f>LEFT(K73,1)</f>
        <v>G</v>
      </c>
      <c r="T73">
        <f>IF(S73="G",1,0)</f>
        <v>1</v>
      </c>
      <c r="U73">
        <f>IF(S73="K",1,0)</f>
        <v>0</v>
      </c>
      <c r="V73">
        <f>IF(S73="M",1,0)</f>
        <v>0</v>
      </c>
      <c r="W73">
        <f>IF(S73="F",1,0)</f>
        <v>0</v>
      </c>
    </row>
    <row r="74" spans="1:23" x14ac:dyDescent="0.3">
      <c r="A74" t="s">
        <v>720</v>
      </c>
      <c r="B74">
        <v>2.9157524399999999</v>
      </c>
      <c r="C74">
        <v>10.5</v>
      </c>
      <c r="D74">
        <v>9.0588069999999998</v>
      </c>
      <c r="E74">
        <v>8.3000000000000004E-2</v>
      </c>
      <c r="F74">
        <v>825.22</v>
      </c>
      <c r="G74">
        <f>IF(OR(C74="",B74="",B74=0),"",5.51*(C74/(B74^3)))</f>
        <v>2.3339360637339746</v>
      </c>
      <c r="H74">
        <v>5513</v>
      </c>
      <c r="I74">
        <v>0.7634899260362995</v>
      </c>
      <c r="J74">
        <v>0.107</v>
      </c>
      <c r="L74">
        <f>IF(AND(B74&gt;=0.8,B74&lt;=1.5),1,IF(AND(B74&gt;=0.5,B74&lt;=2),0.5,0))</f>
        <v>0</v>
      </c>
      <c r="M74">
        <f>IF(AND(C74&gt;=0.5,C74&lt;=2),1,IF(AND(C74&gt;=0.1,C74&lt;=5),0.5,0))</f>
        <v>0</v>
      </c>
      <c r="N74">
        <f>IF(AND(G74&gt;=4,G74&lt;=7),1,IF(AND(G74&gt;=3,G74&lt;=8),0.5,0))</f>
        <v>0</v>
      </c>
      <c r="O74">
        <f>IF(AND(F74&gt;=270,F74&lt;=310),1,IF(AND(F74&gt;=250,F74&lt;=330),0.5,0))</f>
        <v>0</v>
      </c>
      <c r="P74">
        <f>IF(AND(E74&gt;=0.8,E74&lt;=1.5),1,IF(AND(E74&gt;=0.5,E74&lt;=2),0.5,0))</f>
        <v>0</v>
      </c>
      <c r="Q74">
        <f>IF(AND(H74&gt;=5000,H74&lt;=6000),1,IF(AND(H74&gt;=4000,H74&lt;5000),0.5,0))</f>
        <v>1</v>
      </c>
      <c r="R74">
        <f>0.35*AVERAGE(L74:M74:N74)+0.3*O74+0.2*P74+0.15*Q74</f>
        <v>0.15</v>
      </c>
      <c r="S74" t="str">
        <f>LEFT(K74,1)</f>
        <v/>
      </c>
      <c r="T74">
        <f>IF(S74="G",1,0)</f>
        <v>0</v>
      </c>
      <c r="U74">
        <f>IF(S74="K",1,0)</f>
        <v>0</v>
      </c>
      <c r="V74">
        <f>IF(S74="M",1,0)</f>
        <v>0</v>
      </c>
      <c r="W74">
        <f>IF(S74="F",1,0)</f>
        <v>0</v>
      </c>
    </row>
    <row r="75" spans="1:23" x14ac:dyDescent="0.3">
      <c r="A75" t="s">
        <v>719</v>
      </c>
      <c r="B75">
        <v>2.79</v>
      </c>
      <c r="C75">
        <v>10.199999999999999</v>
      </c>
      <c r="D75">
        <v>6.3980420000000002</v>
      </c>
      <c r="E75">
        <v>6.0400000000000002E-2</v>
      </c>
      <c r="F75">
        <v>714</v>
      </c>
      <c r="G75">
        <f>IF(OR(C75="",B75="",B75=0),"",5.51*(C75/(B75^3)))</f>
        <v>2.5878503643973452</v>
      </c>
      <c r="H75">
        <v>4511</v>
      </c>
      <c r="I75">
        <v>0.15696682422120406</v>
      </c>
      <c r="J75">
        <v>0</v>
      </c>
      <c r="K75" t="s">
        <v>4</v>
      </c>
      <c r="L75">
        <f>IF(AND(B75&gt;=0.8,B75&lt;=1.5),1,IF(AND(B75&gt;=0.5,B75&lt;=2),0.5,0))</f>
        <v>0</v>
      </c>
      <c r="M75">
        <f>IF(AND(C75&gt;=0.5,C75&lt;=2),1,IF(AND(C75&gt;=0.1,C75&lt;=5),0.5,0))</f>
        <v>0</v>
      </c>
      <c r="N75">
        <f>IF(AND(G75&gt;=4,G75&lt;=7),1,IF(AND(G75&gt;=3,G75&lt;=8),0.5,0))</f>
        <v>0</v>
      </c>
      <c r="O75">
        <f>IF(AND(F75&gt;=270,F75&lt;=310),1,IF(AND(F75&gt;=250,F75&lt;=330),0.5,0))</f>
        <v>0</v>
      </c>
      <c r="P75">
        <f>IF(AND(E75&gt;=0.8,E75&lt;=1.5),1,IF(AND(E75&gt;=0.5,E75&lt;=2),0.5,0))</f>
        <v>0</v>
      </c>
      <c r="Q75">
        <f>IF(AND(H75&gt;=5000,H75&lt;=6000),1,IF(AND(H75&gt;=4000,H75&lt;5000),0.5,0))</f>
        <v>0.5</v>
      </c>
      <c r="R75">
        <f>0.35*AVERAGE(L75:M75:N75)+0.3*O75+0.2*P75+0.15*Q75</f>
        <v>7.4999999999999997E-2</v>
      </c>
      <c r="S75" t="str">
        <f>LEFT(K75,1)</f>
        <v>K</v>
      </c>
      <c r="T75">
        <f>IF(S75="G",1,0)</f>
        <v>0</v>
      </c>
      <c r="U75">
        <f>IF(S75="K",1,0)</f>
        <v>1</v>
      </c>
      <c r="V75">
        <f>IF(S75="M",1,0)</f>
        <v>0</v>
      </c>
      <c r="W75">
        <f>IF(S75="F",1,0)</f>
        <v>0</v>
      </c>
    </row>
    <row r="76" spans="1:23" x14ac:dyDescent="0.3">
      <c r="A76" t="s">
        <v>718</v>
      </c>
      <c r="B76">
        <v>2.39</v>
      </c>
      <c r="C76">
        <v>9.6999999999999993</v>
      </c>
      <c r="D76">
        <v>18.879740000000002</v>
      </c>
      <c r="E76">
        <v>0.1242</v>
      </c>
      <c r="F76">
        <v>498</v>
      </c>
      <c r="G76">
        <f>IF(OR(C76="",B76="",B76=0),"",5.51*(C76/(B76^3)))</f>
        <v>3.9149807437328032</v>
      </c>
      <c r="H76">
        <v>4511</v>
      </c>
      <c r="I76">
        <v>0.15696682422120406</v>
      </c>
      <c r="J76">
        <v>0</v>
      </c>
      <c r="K76" t="s">
        <v>4</v>
      </c>
      <c r="L76">
        <f>IF(AND(B76&gt;=0.8,B76&lt;=1.5),1,IF(AND(B76&gt;=0.5,B76&lt;=2),0.5,0))</f>
        <v>0</v>
      </c>
      <c r="M76">
        <f>IF(AND(C76&gt;=0.5,C76&lt;=2),1,IF(AND(C76&gt;=0.1,C76&lt;=5),0.5,0))</f>
        <v>0</v>
      </c>
      <c r="N76">
        <f>IF(AND(G76&gt;=4,G76&lt;=7),1,IF(AND(G76&gt;=3,G76&lt;=8),0.5,0))</f>
        <v>0.5</v>
      </c>
      <c r="O76">
        <f>IF(AND(F76&gt;=270,F76&lt;=310),1,IF(AND(F76&gt;=250,F76&lt;=330),0.5,0))</f>
        <v>0</v>
      </c>
      <c r="P76">
        <f>IF(AND(E76&gt;=0.8,E76&lt;=1.5),1,IF(AND(E76&gt;=0.5,E76&lt;=2),0.5,0))</f>
        <v>0</v>
      </c>
      <c r="Q76">
        <f>IF(AND(H76&gt;=5000,H76&lt;=6000),1,IF(AND(H76&gt;=4000,H76&lt;5000),0.5,0))</f>
        <v>0.5</v>
      </c>
      <c r="R76">
        <f>0.35*AVERAGE(L76:M76:N76)+0.3*O76+0.2*P76+0.15*Q76</f>
        <v>0.13333333333333333</v>
      </c>
      <c r="S76" t="str">
        <f>LEFT(K76,1)</f>
        <v>K</v>
      </c>
      <c r="T76">
        <f>IF(S76="G",1,0)</f>
        <v>0</v>
      </c>
      <c r="U76">
        <f>IF(S76="K",1,0)</f>
        <v>1</v>
      </c>
      <c r="V76">
        <f>IF(S76="M",1,0)</f>
        <v>0</v>
      </c>
      <c r="W76">
        <f>IF(S76="F",1,0)</f>
        <v>0</v>
      </c>
    </row>
    <row r="77" spans="1:23" x14ac:dyDescent="0.3">
      <c r="A77" t="s">
        <v>717</v>
      </c>
      <c r="B77">
        <v>2.8964612399999998</v>
      </c>
      <c r="C77">
        <v>10.9</v>
      </c>
      <c r="D77">
        <v>6.5273630000000002</v>
      </c>
      <c r="E77">
        <v>7.2999999999999995E-2</v>
      </c>
      <c r="F77">
        <v>1128.8599999999999</v>
      </c>
      <c r="G77">
        <f>IF(OR(C77="",B77="",B77=0),"",5.51*(C77/(B77^3)))</f>
        <v>2.4715814848263604</v>
      </c>
      <c r="H77">
        <v>6007</v>
      </c>
      <c r="I77">
        <v>2.0274758784435769</v>
      </c>
      <c r="J77">
        <v>0.215</v>
      </c>
      <c r="L77">
        <f>IF(AND(B77&gt;=0.8,B77&lt;=1.5),1,IF(AND(B77&gt;=0.5,B77&lt;=2),0.5,0))</f>
        <v>0</v>
      </c>
      <c r="M77">
        <f>IF(AND(C77&gt;=0.5,C77&lt;=2),1,IF(AND(C77&gt;=0.1,C77&lt;=5),0.5,0))</f>
        <v>0</v>
      </c>
      <c r="N77">
        <f>IF(AND(G77&gt;=4,G77&lt;=7),1,IF(AND(G77&gt;=3,G77&lt;=8),0.5,0))</f>
        <v>0</v>
      </c>
      <c r="O77">
        <f>IF(AND(F77&gt;=270,F77&lt;=310),1,IF(AND(F77&gt;=250,F77&lt;=330),0.5,0))</f>
        <v>0</v>
      </c>
      <c r="P77">
        <f>IF(AND(E77&gt;=0.8,E77&lt;=1.5),1,IF(AND(E77&gt;=0.5,E77&lt;=2),0.5,0))</f>
        <v>0</v>
      </c>
      <c r="Q77">
        <f>IF(AND(H77&gt;=5000,H77&lt;=6000),1,IF(AND(H77&gt;=4000,H77&lt;5000),0.5,0))</f>
        <v>0</v>
      </c>
      <c r="R77">
        <f>0.35*AVERAGE(L77:M77:N77)+0.3*O77+0.2*P77+0.15*Q77</f>
        <v>0</v>
      </c>
      <c r="S77" t="str">
        <f>LEFT(K77,1)</f>
        <v/>
      </c>
      <c r="T77">
        <f>IF(S77="G",1,0)</f>
        <v>0</v>
      </c>
      <c r="U77">
        <f>IF(S77="K",1,0)</f>
        <v>0</v>
      </c>
      <c r="V77">
        <f>IF(S77="M",1,0)</f>
        <v>0</v>
      </c>
      <c r="W77">
        <f>IF(S77="F",1,0)</f>
        <v>0</v>
      </c>
    </row>
    <row r="78" spans="1:23" x14ac:dyDescent="0.3">
      <c r="A78" t="s">
        <v>716</v>
      </c>
      <c r="B78">
        <v>2.16</v>
      </c>
      <c r="C78">
        <v>7.25</v>
      </c>
      <c r="D78">
        <v>3.9844200000000001</v>
      </c>
      <c r="E78">
        <v>4.9000000000000002E-2</v>
      </c>
      <c r="F78">
        <v>1311</v>
      </c>
      <c r="G78">
        <f>IF(OR(C78="",B78="",B78=0),"",5.51*(C78/(B78^3)))</f>
        <v>3.9639516810191529</v>
      </c>
      <c r="H78">
        <v>5863</v>
      </c>
      <c r="I78">
        <v>1.1755095698524314</v>
      </c>
      <c r="J78">
        <v>1.7999999999999999E-2</v>
      </c>
      <c r="K78" t="s">
        <v>519</v>
      </c>
      <c r="L78">
        <f>IF(AND(B78&gt;=0.8,B78&lt;=1.5),1,IF(AND(B78&gt;=0.5,B78&lt;=2),0.5,0))</f>
        <v>0</v>
      </c>
      <c r="M78">
        <f>IF(AND(C78&gt;=0.5,C78&lt;=2),1,IF(AND(C78&gt;=0.1,C78&lt;=5),0.5,0))</f>
        <v>0</v>
      </c>
      <c r="N78">
        <f>IF(AND(G78&gt;=4,G78&lt;=7),1,IF(AND(G78&gt;=3,G78&lt;=8),0.5,0))</f>
        <v>0.5</v>
      </c>
      <c r="O78">
        <f>IF(AND(F78&gt;=270,F78&lt;=310),1,IF(AND(F78&gt;=250,F78&lt;=330),0.5,0))</f>
        <v>0</v>
      </c>
      <c r="P78">
        <f>IF(AND(E78&gt;=0.8,E78&lt;=1.5),1,IF(AND(E78&gt;=0.5,E78&lt;=2),0.5,0))</f>
        <v>0</v>
      </c>
      <c r="Q78">
        <f>IF(AND(H78&gt;=5000,H78&lt;=6000),1,IF(AND(H78&gt;=4000,H78&lt;5000),0.5,0))</f>
        <v>1</v>
      </c>
      <c r="R78">
        <f>0.35*AVERAGE(L78:M78:N78)+0.3*O78+0.2*P78+0.15*Q78</f>
        <v>0.20833333333333331</v>
      </c>
      <c r="S78" t="str">
        <f>LEFT(K78,1)</f>
        <v>G</v>
      </c>
      <c r="T78">
        <f>IF(S78="G",1,0)</f>
        <v>1</v>
      </c>
      <c r="U78">
        <f>IF(S78="K",1,0)</f>
        <v>0</v>
      </c>
      <c r="V78">
        <f>IF(S78="M",1,0)</f>
        <v>0</v>
      </c>
      <c r="W78">
        <f>IF(S78="F",1,0)</f>
        <v>0</v>
      </c>
    </row>
    <row r="79" spans="1:23" x14ac:dyDescent="0.3">
      <c r="A79" t="s">
        <v>715</v>
      </c>
      <c r="B79">
        <v>1.4695436799999999</v>
      </c>
      <c r="C79">
        <v>2.8</v>
      </c>
      <c r="D79">
        <v>1.0376109</v>
      </c>
      <c r="E79">
        <v>2.061E-2</v>
      </c>
      <c r="F79">
        <v>1842.23</v>
      </c>
      <c r="G79">
        <f>IF(OR(C79="",B79="",B79=0),"",5.51*(C79/(B79^3)))</f>
        <v>4.8614086804242982</v>
      </c>
      <c r="H79">
        <v>5908</v>
      </c>
      <c r="I79">
        <v>1.1621264082523022</v>
      </c>
      <c r="J79">
        <v>0.11</v>
      </c>
      <c r="L79">
        <f>IF(AND(B79&gt;=0.8,B79&lt;=1.5),1,IF(AND(B79&gt;=0.5,B79&lt;=2),0.5,0))</f>
        <v>1</v>
      </c>
      <c r="M79">
        <f>IF(AND(C79&gt;=0.5,C79&lt;=2),1,IF(AND(C79&gt;=0.1,C79&lt;=5),0.5,0))</f>
        <v>0.5</v>
      </c>
      <c r="N79">
        <f>IF(AND(G79&gt;=4,G79&lt;=7),1,IF(AND(G79&gt;=3,G79&lt;=8),0.5,0))</f>
        <v>1</v>
      </c>
      <c r="O79">
        <f>IF(AND(F79&gt;=270,F79&lt;=310),1,IF(AND(F79&gt;=250,F79&lt;=330),0.5,0))</f>
        <v>0</v>
      </c>
      <c r="P79">
        <f>IF(AND(E79&gt;=0.8,E79&lt;=1.5),1,IF(AND(E79&gt;=0.5,E79&lt;=2),0.5,0))</f>
        <v>0</v>
      </c>
      <c r="Q79">
        <f>IF(AND(H79&gt;=5000,H79&lt;=6000),1,IF(AND(H79&gt;=4000,H79&lt;5000),0.5,0))</f>
        <v>1</v>
      </c>
      <c r="R79">
        <f>0.35*AVERAGE(L79:M79:N79)+0.3*O79+0.2*P79+0.15*Q79</f>
        <v>0.44166666666666665</v>
      </c>
      <c r="S79" t="str">
        <f>LEFT(K79,1)</f>
        <v/>
      </c>
      <c r="T79">
        <f>IF(S79="G",1,0)</f>
        <v>0</v>
      </c>
      <c r="U79">
        <f>IF(S79="K",1,0)</f>
        <v>0</v>
      </c>
      <c r="V79">
        <f>IF(S79="M",1,0)</f>
        <v>0</v>
      </c>
      <c r="W79">
        <f>IF(S79="F",1,0)</f>
        <v>0</v>
      </c>
    </row>
    <row r="80" spans="1:23" x14ac:dyDescent="0.3">
      <c r="A80" t="s">
        <v>714</v>
      </c>
      <c r="B80">
        <v>3.11976057</v>
      </c>
      <c r="C80">
        <v>18.399999999999999</v>
      </c>
      <c r="D80">
        <v>3.6451389000000001</v>
      </c>
      <c r="E80">
        <v>4.7260000000000003E-2</v>
      </c>
      <c r="F80">
        <v>1212.45</v>
      </c>
      <c r="G80">
        <f>IF(OR(C80="",B80="",B80=0),"",5.51*(C80/(B80^3)))</f>
        <v>3.338917031361774</v>
      </c>
      <c r="H80">
        <v>5908</v>
      </c>
      <c r="I80">
        <v>1.1621264082523022</v>
      </c>
      <c r="J80">
        <v>0.11</v>
      </c>
      <c r="L80">
        <f>IF(AND(B80&gt;=0.8,B80&lt;=1.5),1,IF(AND(B80&gt;=0.5,B80&lt;=2),0.5,0))</f>
        <v>0</v>
      </c>
      <c r="M80">
        <f>IF(AND(C80&gt;=0.5,C80&lt;=2),1,IF(AND(C80&gt;=0.1,C80&lt;=5),0.5,0))</f>
        <v>0</v>
      </c>
      <c r="N80">
        <f>IF(AND(G80&gt;=4,G80&lt;=7),1,IF(AND(G80&gt;=3,G80&lt;=8),0.5,0))</f>
        <v>0.5</v>
      </c>
      <c r="O80">
        <f>IF(AND(F80&gt;=270,F80&lt;=310),1,IF(AND(F80&gt;=250,F80&lt;=330),0.5,0))</f>
        <v>0</v>
      </c>
      <c r="P80">
        <f>IF(AND(E80&gt;=0.8,E80&lt;=1.5),1,IF(AND(E80&gt;=0.5,E80&lt;=2),0.5,0))</f>
        <v>0</v>
      </c>
      <c r="Q80">
        <f>IF(AND(H80&gt;=5000,H80&lt;=6000),1,IF(AND(H80&gt;=4000,H80&lt;5000),0.5,0))</f>
        <v>1</v>
      </c>
      <c r="R80">
        <f>0.35*AVERAGE(L80:M80:N80)+0.3*O80+0.2*P80+0.15*Q80</f>
        <v>0.20833333333333331</v>
      </c>
      <c r="S80" t="str">
        <f>LEFT(K80,1)</f>
        <v/>
      </c>
      <c r="T80">
        <f>IF(S80="G",1,0)</f>
        <v>0</v>
      </c>
      <c r="U80">
        <f>IF(S80="K",1,0)</f>
        <v>0</v>
      </c>
      <c r="V80">
        <f>IF(S80="M",1,0)</f>
        <v>0</v>
      </c>
      <c r="W80">
        <f>IF(S80="F",1,0)</f>
        <v>0</v>
      </c>
    </row>
    <row r="81" spans="1:23" x14ac:dyDescent="0.3">
      <c r="A81" t="s">
        <v>713</v>
      </c>
      <c r="B81">
        <v>1.829</v>
      </c>
      <c r="D81">
        <v>7.610303</v>
      </c>
      <c r="E81">
        <v>6.8989999999999996E-2</v>
      </c>
      <c r="F81">
        <v>721</v>
      </c>
      <c r="G81" t="str">
        <f>IF(OR(C81="",B81="",B81=0),"",5.51*(C81/(B81^3)))</f>
        <v/>
      </c>
      <c r="H81">
        <v>4930</v>
      </c>
      <c r="I81">
        <v>0.29180003364633939</v>
      </c>
      <c r="J81">
        <v>-0.1</v>
      </c>
      <c r="L81">
        <f>IF(AND(B81&gt;=0.8,B81&lt;=1.5),1,IF(AND(B81&gt;=0.5,B81&lt;=2),0.5,0))</f>
        <v>0.5</v>
      </c>
      <c r="M81">
        <f>IF(AND(C81&gt;=0.5,C81&lt;=2),1,IF(AND(C81&gt;=0.1,C81&lt;=5),0.5,0))</f>
        <v>0</v>
      </c>
      <c r="N81">
        <f>IF(AND(G81&gt;=4,G81&lt;=7),1,IF(AND(G81&gt;=3,G81&lt;=8),0.5,0))</f>
        <v>0</v>
      </c>
      <c r="O81">
        <f>IF(AND(F81&gt;=270,F81&lt;=310),1,IF(AND(F81&gt;=250,F81&lt;=330),0.5,0))</f>
        <v>0</v>
      </c>
      <c r="P81">
        <f>IF(AND(E81&gt;=0.8,E81&lt;=1.5),1,IF(AND(E81&gt;=0.5,E81&lt;=2),0.5,0))</f>
        <v>0</v>
      </c>
      <c r="Q81">
        <f>IF(AND(H81&gt;=5000,H81&lt;=6000),1,IF(AND(H81&gt;=4000,H81&lt;5000),0.5,0))</f>
        <v>0.5</v>
      </c>
      <c r="R81">
        <f>0.35*AVERAGE(L81:M81:N81)+0.3*O81+0.2*P81+0.15*Q81</f>
        <v>0.13333333333333333</v>
      </c>
      <c r="S81" t="str">
        <f>LEFT(K81,1)</f>
        <v/>
      </c>
      <c r="T81">
        <f>IF(S81="G",1,0)</f>
        <v>0</v>
      </c>
      <c r="U81">
        <f>IF(S81="K",1,0)</f>
        <v>0</v>
      </c>
      <c r="V81">
        <f>IF(S81="M",1,0)</f>
        <v>0</v>
      </c>
      <c r="W81">
        <f>IF(S81="F",1,0)</f>
        <v>0</v>
      </c>
    </row>
    <row r="82" spans="1:23" x14ac:dyDescent="0.3">
      <c r="A82" t="s">
        <v>712</v>
      </c>
      <c r="B82">
        <v>2.4</v>
      </c>
      <c r="D82">
        <v>14.245647999999999</v>
      </c>
      <c r="E82">
        <v>0.10478999999999999</v>
      </c>
      <c r="F82">
        <v>585</v>
      </c>
      <c r="G82" t="str">
        <f>IF(OR(C82="",B82="",B82=0),"",5.51*(C82/(B82^3)))</f>
        <v/>
      </c>
      <c r="H82">
        <v>4930</v>
      </c>
      <c r="I82">
        <v>0.29180003364633939</v>
      </c>
      <c r="J82">
        <v>-0.1</v>
      </c>
      <c r="L82">
        <f>IF(AND(B82&gt;=0.8,B82&lt;=1.5),1,IF(AND(B82&gt;=0.5,B82&lt;=2),0.5,0))</f>
        <v>0</v>
      </c>
      <c r="M82">
        <f>IF(AND(C82&gt;=0.5,C82&lt;=2),1,IF(AND(C82&gt;=0.1,C82&lt;=5),0.5,0))</f>
        <v>0</v>
      </c>
      <c r="N82">
        <f>IF(AND(G82&gt;=4,G82&lt;=7),1,IF(AND(G82&gt;=3,G82&lt;=8),0.5,0))</f>
        <v>0</v>
      </c>
      <c r="O82">
        <f>IF(AND(F82&gt;=270,F82&lt;=310),1,IF(AND(F82&gt;=250,F82&lt;=330),0.5,0))</f>
        <v>0</v>
      </c>
      <c r="P82">
        <f>IF(AND(E82&gt;=0.8,E82&lt;=1.5),1,IF(AND(E82&gt;=0.5,E82&lt;=2),0.5,0))</f>
        <v>0</v>
      </c>
      <c r="Q82">
        <f>IF(AND(H82&gt;=5000,H82&lt;=6000),1,IF(AND(H82&gt;=4000,H82&lt;5000),0.5,0))</f>
        <v>0.5</v>
      </c>
      <c r="R82">
        <f>0.35*AVERAGE(L82:M82:N82)+0.3*O82+0.2*P82+0.15*Q82</f>
        <v>7.4999999999999997E-2</v>
      </c>
      <c r="S82" t="str">
        <f>LEFT(K82,1)</f>
        <v/>
      </c>
      <c r="T82">
        <f>IF(S82="G",1,0)</f>
        <v>0</v>
      </c>
      <c r="U82">
        <f>IF(S82="K",1,0)</f>
        <v>0</v>
      </c>
      <c r="V82">
        <f>IF(S82="M",1,0)</f>
        <v>0</v>
      </c>
      <c r="W82">
        <f>IF(S82="F",1,0)</f>
        <v>0</v>
      </c>
    </row>
    <row r="83" spans="1:23" x14ac:dyDescent="0.3">
      <c r="A83" t="s">
        <v>711</v>
      </c>
      <c r="B83">
        <v>22.754270000000002</v>
      </c>
      <c r="C83">
        <v>1021.1877899999999</v>
      </c>
      <c r="D83">
        <v>0.9809734</v>
      </c>
      <c r="E83">
        <v>1.7819999999999999E-2</v>
      </c>
      <c r="F83">
        <v>1411</v>
      </c>
      <c r="G83">
        <f>IF(OR(C83="",B83="",B83=0),"",5.51*(C83/(B83^3)))</f>
        <v>0.47760458907255482</v>
      </c>
      <c r="H83">
        <v>4590</v>
      </c>
      <c r="I83">
        <v>0.20886113468582343</v>
      </c>
      <c r="J83">
        <v>0.18</v>
      </c>
      <c r="K83" t="s">
        <v>4</v>
      </c>
      <c r="L83">
        <f>IF(AND(B83&gt;=0.8,B83&lt;=1.5),1,IF(AND(B83&gt;=0.5,B83&lt;=2),0.5,0))</f>
        <v>0</v>
      </c>
      <c r="M83">
        <f>IF(AND(C83&gt;=0.5,C83&lt;=2),1,IF(AND(C83&gt;=0.1,C83&lt;=5),0.5,0))</f>
        <v>0</v>
      </c>
      <c r="N83">
        <f>IF(AND(G83&gt;=4,G83&lt;=7),1,IF(AND(G83&gt;=3,G83&lt;=8),0.5,0))</f>
        <v>0</v>
      </c>
      <c r="O83">
        <f>IF(AND(F83&gt;=270,F83&lt;=310),1,IF(AND(F83&gt;=250,F83&lt;=330),0.5,0))</f>
        <v>0</v>
      </c>
      <c r="P83">
        <f>IF(AND(E83&gt;=0.8,E83&lt;=1.5),1,IF(AND(E83&gt;=0.5,E83&lt;=2),0.5,0))</f>
        <v>0</v>
      </c>
      <c r="Q83">
        <f>IF(AND(H83&gt;=5000,H83&lt;=6000),1,IF(AND(H83&gt;=4000,H83&lt;5000),0.5,0))</f>
        <v>0.5</v>
      </c>
      <c r="R83">
        <f>0.35*AVERAGE(L83:M83:N83)+0.3*O83+0.2*P83+0.15*Q83</f>
        <v>7.4999999999999997E-2</v>
      </c>
      <c r="S83" t="str">
        <f>LEFT(K83,1)</f>
        <v>K</v>
      </c>
      <c r="T83">
        <f>IF(S83="G",1,0)</f>
        <v>0</v>
      </c>
      <c r="U83">
        <f>IF(S83="K",1,0)</f>
        <v>1</v>
      </c>
      <c r="V83">
        <f>IF(S83="M",1,0)</f>
        <v>0</v>
      </c>
      <c r="W83">
        <f>IF(S83="F",1,0)</f>
        <v>0</v>
      </c>
    </row>
    <row r="84" spans="1:23" x14ac:dyDescent="0.3">
      <c r="A84" t="s">
        <v>710</v>
      </c>
      <c r="B84">
        <v>9.9872017999999994</v>
      </c>
      <c r="D84">
        <v>6.9594731000000003</v>
      </c>
      <c r="E84">
        <v>7.4800000000000005E-2</v>
      </c>
      <c r="F84">
        <v>1175</v>
      </c>
      <c r="G84" t="str">
        <f>IF(OR(C84="",B84="",B84=0),"",5.51*(C84/(B84^3)))</f>
        <v/>
      </c>
      <c r="H84">
        <v>5675</v>
      </c>
      <c r="I84">
        <v>1.7721949155670056</v>
      </c>
      <c r="L84">
        <f>IF(AND(B84&gt;=0.8,B84&lt;=1.5),1,IF(AND(B84&gt;=0.5,B84&lt;=2),0.5,0))</f>
        <v>0</v>
      </c>
      <c r="M84">
        <f>IF(AND(C84&gt;=0.5,C84&lt;=2),1,IF(AND(C84&gt;=0.1,C84&lt;=5),0.5,0))</f>
        <v>0</v>
      </c>
      <c r="N84">
        <f>IF(AND(G84&gt;=4,G84&lt;=7),1,IF(AND(G84&gt;=3,G84&lt;=8),0.5,0))</f>
        <v>0</v>
      </c>
      <c r="O84">
        <f>IF(AND(F84&gt;=270,F84&lt;=310),1,IF(AND(F84&gt;=250,F84&lt;=330),0.5,0))</f>
        <v>0</v>
      </c>
      <c r="P84">
        <f>IF(AND(E84&gt;=0.8,E84&lt;=1.5),1,IF(AND(E84&gt;=0.5,E84&lt;=2),0.5,0))</f>
        <v>0</v>
      </c>
      <c r="Q84">
        <f>IF(AND(H84&gt;=5000,H84&lt;=6000),1,IF(AND(H84&gt;=4000,H84&lt;5000),0.5,0))</f>
        <v>1</v>
      </c>
      <c r="R84">
        <f>0.35*AVERAGE(L84:M84:N84)+0.3*O84+0.2*P84+0.15*Q84</f>
        <v>0.15</v>
      </c>
      <c r="S84" t="str">
        <f>LEFT(K84,1)</f>
        <v/>
      </c>
      <c r="T84">
        <f>IF(S84="G",1,0)</f>
        <v>0</v>
      </c>
      <c r="U84">
        <f>IF(S84="K",1,0)</f>
        <v>0</v>
      </c>
      <c r="V84">
        <f>IF(S84="M",1,0)</f>
        <v>0</v>
      </c>
      <c r="W84">
        <f>IF(S84="F",1,0)</f>
        <v>0</v>
      </c>
    </row>
    <row r="85" spans="1:23" x14ac:dyDescent="0.3">
      <c r="A85" t="s">
        <v>709</v>
      </c>
      <c r="B85">
        <v>7.93595834</v>
      </c>
      <c r="D85">
        <v>14.334892</v>
      </c>
      <c r="E85">
        <v>0.12280000000000001</v>
      </c>
      <c r="F85">
        <v>917</v>
      </c>
      <c r="G85" t="str">
        <f>IF(OR(C85="",B85="",B85=0),"",5.51*(C85/(B85^3)))</f>
        <v/>
      </c>
      <c r="H85">
        <v>5675</v>
      </c>
      <c r="I85">
        <v>1.7721949155670056</v>
      </c>
      <c r="L85">
        <f>IF(AND(B85&gt;=0.8,B85&lt;=1.5),1,IF(AND(B85&gt;=0.5,B85&lt;=2),0.5,0))</f>
        <v>0</v>
      </c>
      <c r="M85">
        <f>IF(AND(C85&gt;=0.5,C85&lt;=2),1,IF(AND(C85&gt;=0.1,C85&lt;=5),0.5,0))</f>
        <v>0</v>
      </c>
      <c r="N85">
        <f>IF(AND(G85&gt;=4,G85&lt;=7),1,IF(AND(G85&gt;=3,G85&lt;=8),0.5,0))</f>
        <v>0</v>
      </c>
      <c r="O85">
        <f>IF(AND(F85&gt;=270,F85&lt;=310),1,IF(AND(F85&gt;=250,F85&lt;=330),0.5,0))</f>
        <v>0</v>
      </c>
      <c r="P85">
        <f>IF(AND(E85&gt;=0.8,E85&lt;=1.5),1,IF(AND(E85&gt;=0.5,E85&lt;=2),0.5,0))</f>
        <v>0</v>
      </c>
      <c r="Q85">
        <f>IF(AND(H85&gt;=5000,H85&lt;=6000),1,IF(AND(H85&gt;=4000,H85&lt;5000),0.5,0))</f>
        <v>1</v>
      </c>
      <c r="R85">
        <f>0.35*AVERAGE(L85:M85:N85)+0.3*O85+0.2*P85+0.15*Q85</f>
        <v>0.15</v>
      </c>
      <c r="S85" t="str">
        <f>LEFT(K85,1)</f>
        <v/>
      </c>
      <c r="T85">
        <f>IF(S85="G",1,0)</f>
        <v>0</v>
      </c>
      <c r="U85">
        <f>IF(S85="K",1,0)</f>
        <v>0</v>
      </c>
      <c r="V85">
        <f>IF(S85="M",1,0)</f>
        <v>0</v>
      </c>
      <c r="W85">
        <f>IF(S85="F",1,0)</f>
        <v>0</v>
      </c>
    </row>
    <row r="86" spans="1:23" x14ac:dyDescent="0.3">
      <c r="A86" t="s">
        <v>708</v>
      </c>
      <c r="B86">
        <v>2.5362584300000002</v>
      </c>
      <c r="C86">
        <v>8.9</v>
      </c>
      <c r="D86">
        <v>10.751014</v>
      </c>
      <c r="E86">
        <v>9.2999999999999999E-2</v>
      </c>
      <c r="F86">
        <v>794.96</v>
      </c>
      <c r="G86">
        <f>IF(OR(C86="",B86="",B86=0),"",5.51*(C86/(B86^3)))</f>
        <v>3.0058070231004215</v>
      </c>
      <c r="H86">
        <v>5618</v>
      </c>
      <c r="I86">
        <v>0.82419627458570999</v>
      </c>
      <c r="J86">
        <v>7.0000000000000001E-3</v>
      </c>
      <c r="L86">
        <f>IF(AND(B86&gt;=0.8,B86&lt;=1.5),1,IF(AND(B86&gt;=0.5,B86&lt;=2),0.5,0))</f>
        <v>0</v>
      </c>
      <c r="M86">
        <f>IF(AND(C86&gt;=0.5,C86&lt;=2),1,IF(AND(C86&gt;=0.1,C86&lt;=5),0.5,0))</f>
        <v>0</v>
      </c>
      <c r="N86">
        <f>IF(AND(G86&gt;=4,G86&lt;=7),1,IF(AND(G86&gt;=3,G86&lt;=8),0.5,0))</f>
        <v>0.5</v>
      </c>
      <c r="O86">
        <f>IF(AND(F86&gt;=270,F86&lt;=310),1,IF(AND(F86&gt;=250,F86&lt;=330),0.5,0))</f>
        <v>0</v>
      </c>
      <c r="P86">
        <f>IF(AND(E86&gt;=0.8,E86&lt;=1.5),1,IF(AND(E86&gt;=0.5,E86&lt;=2),0.5,0))</f>
        <v>0</v>
      </c>
      <c r="Q86">
        <f>IF(AND(H86&gt;=5000,H86&lt;=6000),1,IF(AND(H86&gt;=4000,H86&lt;5000),0.5,0))</f>
        <v>1</v>
      </c>
      <c r="R86">
        <f>0.35*AVERAGE(L86:M86:N86)+0.3*O86+0.2*P86+0.15*Q86</f>
        <v>0.20833333333333331</v>
      </c>
      <c r="S86" t="str">
        <f>LEFT(K86,1)</f>
        <v/>
      </c>
      <c r="T86">
        <f>IF(S86="G",1,0)</f>
        <v>0</v>
      </c>
      <c r="U86">
        <f>IF(S86="K",1,0)</f>
        <v>0</v>
      </c>
      <c r="V86">
        <f>IF(S86="M",1,0)</f>
        <v>0</v>
      </c>
      <c r="W86">
        <f>IF(S86="F",1,0)</f>
        <v>0</v>
      </c>
    </row>
    <row r="87" spans="1:23" x14ac:dyDescent="0.3">
      <c r="A87" t="s">
        <v>707</v>
      </c>
      <c r="B87">
        <v>2.5244250799999999</v>
      </c>
      <c r="C87">
        <v>10.7</v>
      </c>
      <c r="D87">
        <v>19.605619999999998</v>
      </c>
      <c r="E87">
        <v>0.13900000000000001</v>
      </c>
      <c r="F87">
        <v>650.67999999999995</v>
      </c>
      <c r="G87">
        <f>IF(OR(C87="",B87="",B87=0),"",5.51*(C87/(B87^3)))</f>
        <v>3.6647800778506281</v>
      </c>
      <c r="H87">
        <v>5618</v>
      </c>
      <c r="I87">
        <v>0.82419627458570999</v>
      </c>
      <c r="J87">
        <v>7.0000000000000001E-3</v>
      </c>
      <c r="L87">
        <f>IF(AND(B87&gt;=0.8,B87&lt;=1.5),1,IF(AND(B87&gt;=0.5,B87&lt;=2),0.5,0))</f>
        <v>0</v>
      </c>
      <c r="M87">
        <f>IF(AND(C87&gt;=0.5,C87&lt;=2),1,IF(AND(C87&gt;=0.1,C87&lt;=5),0.5,0))</f>
        <v>0</v>
      </c>
      <c r="N87">
        <f>IF(AND(G87&gt;=4,G87&lt;=7),1,IF(AND(G87&gt;=3,G87&lt;=8),0.5,0))</f>
        <v>0.5</v>
      </c>
      <c r="O87">
        <f>IF(AND(F87&gt;=270,F87&lt;=310),1,IF(AND(F87&gt;=250,F87&lt;=330),0.5,0))</f>
        <v>0</v>
      </c>
      <c r="P87">
        <f>IF(AND(E87&gt;=0.8,E87&lt;=1.5),1,IF(AND(E87&gt;=0.5,E87&lt;=2),0.5,0))</f>
        <v>0</v>
      </c>
      <c r="Q87">
        <f>IF(AND(H87&gt;=5000,H87&lt;=6000),1,IF(AND(H87&gt;=4000,H87&lt;5000),0.5,0))</f>
        <v>1</v>
      </c>
      <c r="R87">
        <f>0.35*AVERAGE(L87:M87:N87)+0.3*O87+0.2*P87+0.15*Q87</f>
        <v>0.20833333333333331</v>
      </c>
      <c r="S87" t="str">
        <f>LEFT(K87,1)</f>
        <v/>
      </c>
      <c r="T87">
        <f>IF(S87="G",1,0)</f>
        <v>0</v>
      </c>
      <c r="U87">
        <f>IF(S87="K",1,0)</f>
        <v>0</v>
      </c>
      <c r="V87">
        <f>IF(S87="M",1,0)</f>
        <v>0</v>
      </c>
      <c r="W87">
        <f>IF(S87="F",1,0)</f>
        <v>0</v>
      </c>
    </row>
    <row r="88" spans="1:23" x14ac:dyDescent="0.3">
      <c r="A88" t="s">
        <v>706</v>
      </c>
      <c r="B88">
        <v>3</v>
      </c>
      <c r="C88">
        <v>379</v>
      </c>
      <c r="D88">
        <v>7.7130570000000001</v>
      </c>
      <c r="E88">
        <v>7.8700000000000006E-2</v>
      </c>
      <c r="F88">
        <v>1060</v>
      </c>
      <c r="G88">
        <f>IF(OR(C88="",B88="",B88=0),"",5.51*(C88/(B88^3)))</f>
        <v>77.344074074074072</v>
      </c>
      <c r="H88">
        <v>5991</v>
      </c>
      <c r="I88">
        <v>1.3481388970051191</v>
      </c>
      <c r="J88">
        <v>0</v>
      </c>
      <c r="K88" t="s">
        <v>12</v>
      </c>
      <c r="L88">
        <f>IF(AND(B88&gt;=0.8,B88&lt;=1.5),1,IF(AND(B88&gt;=0.5,B88&lt;=2),0.5,0))</f>
        <v>0</v>
      </c>
      <c r="M88">
        <f>IF(AND(C88&gt;=0.5,C88&lt;=2),1,IF(AND(C88&gt;=0.1,C88&lt;=5),0.5,0))</f>
        <v>0</v>
      </c>
      <c r="N88">
        <f>IF(AND(G88&gt;=4,G88&lt;=7),1,IF(AND(G88&gt;=3,G88&lt;=8),0.5,0))</f>
        <v>0</v>
      </c>
      <c r="O88">
        <f>IF(AND(F88&gt;=270,F88&lt;=310),1,IF(AND(F88&gt;=250,F88&lt;=330),0.5,0))</f>
        <v>0</v>
      </c>
      <c r="P88">
        <f>IF(AND(E88&gt;=0.8,E88&lt;=1.5),1,IF(AND(E88&gt;=0.5,E88&lt;=2),0.5,0))</f>
        <v>0</v>
      </c>
      <c r="Q88">
        <f>IF(AND(H88&gt;=5000,H88&lt;=6000),1,IF(AND(H88&gt;=4000,H88&lt;5000),0.5,0))</f>
        <v>1</v>
      </c>
      <c r="R88">
        <f>0.35*AVERAGE(L88:M88:N88)+0.3*O88+0.2*P88+0.15*Q88</f>
        <v>0.15</v>
      </c>
      <c r="S88" t="str">
        <f>LEFT(K88,1)</f>
        <v>G</v>
      </c>
      <c r="T88">
        <f>IF(S88="G",1,0)</f>
        <v>1</v>
      </c>
      <c r="U88">
        <f>IF(S88="K",1,0)</f>
        <v>0</v>
      </c>
      <c r="V88">
        <f>IF(S88="M",1,0)</f>
        <v>0</v>
      </c>
      <c r="W88">
        <f>IF(S88="F",1,0)</f>
        <v>0</v>
      </c>
    </row>
    <row r="89" spans="1:23" x14ac:dyDescent="0.3">
      <c r="A89" t="s">
        <v>705</v>
      </c>
      <c r="B89">
        <v>3.8283812699999999</v>
      </c>
      <c r="C89">
        <v>8.3000000000000007</v>
      </c>
      <c r="D89">
        <v>20.772857999999999</v>
      </c>
      <c r="E89">
        <v>0.14499999999999999</v>
      </c>
      <c r="F89">
        <v>640.88</v>
      </c>
      <c r="G89">
        <f>IF(OR(C89="",B89="",B89=0),"",5.51*(C89/(B89^3)))</f>
        <v>0.81504979547463641</v>
      </c>
      <c r="H89">
        <v>5649</v>
      </c>
      <c r="I89">
        <v>0.84078516026256978</v>
      </c>
      <c r="J89">
        <v>-1.7999999999999999E-2</v>
      </c>
      <c r="L89">
        <f>IF(AND(B89&gt;=0.8,B89&lt;=1.5),1,IF(AND(B89&gt;=0.5,B89&lt;=2),0.5,0))</f>
        <v>0</v>
      </c>
      <c r="M89">
        <f>IF(AND(C89&gt;=0.5,C89&lt;=2),1,IF(AND(C89&gt;=0.1,C89&lt;=5),0.5,0))</f>
        <v>0</v>
      </c>
      <c r="N89">
        <f>IF(AND(G89&gt;=4,G89&lt;=7),1,IF(AND(G89&gt;=3,G89&lt;=8),0.5,0))</f>
        <v>0</v>
      </c>
      <c r="O89">
        <f>IF(AND(F89&gt;=270,F89&lt;=310),1,IF(AND(F89&gt;=250,F89&lt;=330),0.5,0))</f>
        <v>0</v>
      </c>
      <c r="P89">
        <f>IF(AND(E89&gt;=0.8,E89&lt;=1.5),1,IF(AND(E89&gt;=0.5,E89&lt;=2),0.5,0))</f>
        <v>0</v>
      </c>
      <c r="Q89">
        <f>IF(AND(H89&gt;=5000,H89&lt;=6000),1,IF(AND(H89&gt;=4000,H89&lt;5000),0.5,0))</f>
        <v>1</v>
      </c>
      <c r="R89">
        <f>0.35*AVERAGE(L89:M89:N89)+0.3*O89+0.2*P89+0.15*Q89</f>
        <v>0.15</v>
      </c>
      <c r="S89" t="str">
        <f>LEFT(K89,1)</f>
        <v/>
      </c>
      <c r="T89">
        <f>IF(S89="G",1,0)</f>
        <v>0</v>
      </c>
      <c r="U89">
        <f>IF(S89="K",1,0)</f>
        <v>0</v>
      </c>
      <c r="V89">
        <f>IF(S89="M",1,0)</f>
        <v>0</v>
      </c>
      <c r="W89">
        <f>IF(S89="F",1,0)</f>
        <v>0</v>
      </c>
    </row>
    <row r="90" spans="1:23" x14ac:dyDescent="0.3">
      <c r="A90" t="s">
        <v>704</v>
      </c>
      <c r="B90">
        <v>3.4285592600000001</v>
      </c>
      <c r="C90">
        <v>7</v>
      </c>
      <c r="D90">
        <v>52.563630000000003</v>
      </c>
      <c r="E90">
        <v>0.26900000000000002</v>
      </c>
      <c r="F90">
        <v>470.31</v>
      </c>
      <c r="G90">
        <f>IF(OR(C90="",B90="",B90=0),"",5.51*(C90/(B90^3)))</f>
        <v>0.957005994083305</v>
      </c>
      <c r="H90">
        <v>5649</v>
      </c>
      <c r="I90">
        <v>0.84078516026256978</v>
      </c>
      <c r="J90">
        <v>-1.7999999999999999E-2</v>
      </c>
      <c r="L90">
        <f>IF(AND(B90&gt;=0.8,B90&lt;=1.5),1,IF(AND(B90&gt;=0.5,B90&lt;=2),0.5,0))</f>
        <v>0</v>
      </c>
      <c r="M90">
        <f>IF(AND(C90&gt;=0.5,C90&lt;=2),1,IF(AND(C90&gt;=0.1,C90&lt;=5),0.5,0))</f>
        <v>0</v>
      </c>
      <c r="N90">
        <f>IF(AND(G90&gt;=4,G90&lt;=7),1,IF(AND(G90&gt;=3,G90&lt;=8),0.5,0))</f>
        <v>0</v>
      </c>
      <c r="O90">
        <f>IF(AND(F90&gt;=270,F90&lt;=310),1,IF(AND(F90&gt;=250,F90&lt;=330),0.5,0))</f>
        <v>0</v>
      </c>
      <c r="P90">
        <f>IF(AND(E90&gt;=0.8,E90&lt;=1.5),1,IF(AND(E90&gt;=0.5,E90&lt;=2),0.5,0))</f>
        <v>0</v>
      </c>
      <c r="Q90">
        <f>IF(AND(H90&gt;=5000,H90&lt;=6000),1,IF(AND(H90&gt;=4000,H90&lt;5000),0.5,0))</f>
        <v>1</v>
      </c>
      <c r="R90">
        <f>0.35*AVERAGE(L90:M90:N90)+0.3*O90+0.2*P90+0.15*Q90</f>
        <v>0.15</v>
      </c>
      <c r="S90" t="str">
        <f>LEFT(K90,1)</f>
        <v/>
      </c>
      <c r="T90">
        <f>IF(S90="G",1,0)</f>
        <v>0</v>
      </c>
      <c r="U90">
        <f>IF(S90="K",1,0)</f>
        <v>0</v>
      </c>
      <c r="V90">
        <f>IF(S90="M",1,0)</f>
        <v>0</v>
      </c>
      <c r="W90">
        <f>IF(S90="F",1,0)</f>
        <v>0</v>
      </c>
    </row>
    <row r="91" spans="1:23" x14ac:dyDescent="0.3">
      <c r="A91" t="s">
        <v>703</v>
      </c>
      <c r="B91">
        <v>2.4801337999999999</v>
      </c>
      <c r="C91">
        <v>19.100000000000001</v>
      </c>
      <c r="D91">
        <v>10.288914</v>
      </c>
      <c r="E91">
        <v>9.0999999999999998E-2</v>
      </c>
      <c r="F91">
        <v>701.66</v>
      </c>
      <c r="G91">
        <f>IF(OR(C91="",B91="",B91=0),"",5.51*(C91/(B91^3)))</f>
        <v>6.8985788540866153</v>
      </c>
      <c r="H91">
        <v>5216</v>
      </c>
      <c r="I91">
        <v>0.47060661090288924</v>
      </c>
      <c r="J91">
        <v>0.248</v>
      </c>
      <c r="L91">
        <f>IF(AND(B91&gt;=0.8,B91&lt;=1.5),1,IF(AND(B91&gt;=0.5,B91&lt;=2),0.5,0))</f>
        <v>0</v>
      </c>
      <c r="M91">
        <f>IF(AND(C91&gt;=0.5,C91&lt;=2),1,IF(AND(C91&gt;=0.1,C91&lt;=5),0.5,0))</f>
        <v>0</v>
      </c>
      <c r="N91">
        <f>IF(AND(G91&gt;=4,G91&lt;=7),1,IF(AND(G91&gt;=3,G91&lt;=8),0.5,0))</f>
        <v>1</v>
      </c>
      <c r="O91">
        <f>IF(AND(F91&gt;=270,F91&lt;=310),1,IF(AND(F91&gt;=250,F91&lt;=330),0.5,0))</f>
        <v>0</v>
      </c>
      <c r="P91">
        <f>IF(AND(E91&gt;=0.8,E91&lt;=1.5),1,IF(AND(E91&gt;=0.5,E91&lt;=2),0.5,0))</f>
        <v>0</v>
      </c>
      <c r="Q91">
        <f>IF(AND(H91&gt;=5000,H91&lt;=6000),1,IF(AND(H91&gt;=4000,H91&lt;5000),0.5,0))</f>
        <v>1</v>
      </c>
      <c r="R91">
        <f>0.35*AVERAGE(L91:M91:N91)+0.3*O91+0.2*P91+0.15*Q91</f>
        <v>0.26666666666666666</v>
      </c>
      <c r="S91" t="str">
        <f>LEFT(K91,1)</f>
        <v/>
      </c>
      <c r="T91">
        <f>IF(S91="G",1,0)</f>
        <v>0</v>
      </c>
      <c r="U91">
        <f>IF(S91="K",1,0)</f>
        <v>0</v>
      </c>
      <c r="V91">
        <f>IF(S91="M",1,0)</f>
        <v>0</v>
      </c>
      <c r="W91">
        <f>IF(S91="F",1,0)</f>
        <v>0</v>
      </c>
    </row>
    <row r="92" spans="1:23" x14ac:dyDescent="0.3">
      <c r="A92" t="s">
        <v>702</v>
      </c>
      <c r="B92">
        <v>2.004</v>
      </c>
      <c r="C92">
        <v>3.55</v>
      </c>
      <c r="D92">
        <v>3.5852870000000001</v>
      </c>
      <c r="E92">
        <v>4.888E-2</v>
      </c>
      <c r="F92">
        <v>1552</v>
      </c>
      <c r="G92">
        <f>IF(OR(C92="",B92="",B92=0),"",5.51*(C92/(B92^3)))</f>
        <v>2.4304506114801763</v>
      </c>
      <c r="H92">
        <v>6354</v>
      </c>
      <c r="I92">
        <v>2.3144082788315163</v>
      </c>
      <c r="J92">
        <v>2.5000000000000001E-2</v>
      </c>
      <c r="L92">
        <f>IF(AND(B92&gt;=0.8,B92&lt;=1.5),1,IF(AND(B92&gt;=0.5,B92&lt;=2),0.5,0))</f>
        <v>0</v>
      </c>
      <c r="M92">
        <f>IF(AND(C92&gt;=0.5,C92&lt;=2),1,IF(AND(C92&gt;=0.1,C92&lt;=5),0.5,0))</f>
        <v>0.5</v>
      </c>
      <c r="N92">
        <f>IF(AND(G92&gt;=4,G92&lt;=7),1,IF(AND(G92&gt;=3,G92&lt;=8),0.5,0))</f>
        <v>0</v>
      </c>
      <c r="O92">
        <f>IF(AND(F92&gt;=270,F92&lt;=310),1,IF(AND(F92&gt;=250,F92&lt;=330),0.5,0))</f>
        <v>0</v>
      </c>
      <c r="P92">
        <f>IF(AND(E92&gt;=0.8,E92&lt;=1.5),1,IF(AND(E92&gt;=0.5,E92&lt;=2),0.5,0))</f>
        <v>0</v>
      </c>
      <c r="Q92">
        <f>IF(AND(H92&gt;=5000,H92&lt;=6000),1,IF(AND(H92&gt;=4000,H92&lt;5000),0.5,0))</f>
        <v>0</v>
      </c>
      <c r="R92">
        <f>0.35*AVERAGE(L92:M92:N92)+0.3*O92+0.2*P92+0.15*Q92</f>
        <v>5.8333333333333327E-2</v>
      </c>
      <c r="S92" t="str">
        <f>LEFT(K92,1)</f>
        <v/>
      </c>
      <c r="T92">
        <f>IF(S92="G",1,0)</f>
        <v>0</v>
      </c>
      <c r="U92">
        <f>IF(S92="K",1,0)</f>
        <v>0</v>
      </c>
      <c r="V92">
        <f>IF(S92="M",1,0)</f>
        <v>0</v>
      </c>
      <c r="W92">
        <f>IF(S92="F",1,0)</f>
        <v>0</v>
      </c>
    </row>
    <row r="93" spans="1:23" x14ac:dyDescent="0.3">
      <c r="A93" t="s">
        <v>701</v>
      </c>
      <c r="B93">
        <v>1.9790000000000001</v>
      </c>
      <c r="C93">
        <v>3.8</v>
      </c>
      <c r="D93">
        <v>5.973865</v>
      </c>
      <c r="E93">
        <v>6.8699999999999997E-2</v>
      </c>
      <c r="F93">
        <v>1309</v>
      </c>
      <c r="G93">
        <f>IF(OR(C93="",B93="",B93=0),"",5.51*(C93/(B93^3)))</f>
        <v>2.7014554681221523</v>
      </c>
      <c r="H93">
        <v>6354</v>
      </c>
      <c r="I93">
        <v>2.3144082788315163</v>
      </c>
      <c r="J93">
        <v>2.5000000000000001E-2</v>
      </c>
      <c r="L93">
        <f>IF(AND(B93&gt;=0.8,B93&lt;=1.5),1,IF(AND(B93&gt;=0.5,B93&lt;=2),0.5,0))</f>
        <v>0.5</v>
      </c>
      <c r="M93">
        <f>IF(AND(C93&gt;=0.5,C93&lt;=2),1,IF(AND(C93&gt;=0.1,C93&lt;=5),0.5,0))</f>
        <v>0.5</v>
      </c>
      <c r="N93">
        <f>IF(AND(G93&gt;=4,G93&lt;=7),1,IF(AND(G93&gt;=3,G93&lt;=8),0.5,0))</f>
        <v>0</v>
      </c>
      <c r="O93">
        <f>IF(AND(F93&gt;=270,F93&lt;=310),1,IF(AND(F93&gt;=250,F93&lt;=330),0.5,0))</f>
        <v>0</v>
      </c>
      <c r="P93">
        <f>IF(AND(E93&gt;=0.8,E93&lt;=1.5),1,IF(AND(E93&gt;=0.5,E93&lt;=2),0.5,0))</f>
        <v>0</v>
      </c>
      <c r="Q93">
        <f>IF(AND(H93&gt;=5000,H93&lt;=6000),1,IF(AND(H93&gt;=4000,H93&lt;5000),0.5,0))</f>
        <v>0</v>
      </c>
      <c r="R93">
        <f>0.35*AVERAGE(L93:M93:N93)+0.3*O93+0.2*P93+0.15*Q93</f>
        <v>0.11666666666666665</v>
      </c>
      <c r="S93" t="str">
        <f>LEFT(K93,1)</f>
        <v/>
      </c>
      <c r="T93">
        <f>IF(S93="G",1,0)</f>
        <v>0</v>
      </c>
      <c r="U93">
        <f>IF(S93="K",1,0)</f>
        <v>0</v>
      </c>
      <c r="V93">
        <f>IF(S93="M",1,0)</f>
        <v>0</v>
      </c>
      <c r="W93">
        <f>IF(S93="F",1,0)</f>
        <v>0</v>
      </c>
    </row>
    <row r="94" spans="1:23" x14ac:dyDescent="0.3">
      <c r="A94" t="s">
        <v>700</v>
      </c>
      <c r="B94">
        <v>2.0009999999999999</v>
      </c>
      <c r="C94">
        <v>7.1</v>
      </c>
      <c r="D94">
        <v>11.230511</v>
      </c>
      <c r="E94">
        <v>0.1046</v>
      </c>
      <c r="F94">
        <v>1061</v>
      </c>
      <c r="G94">
        <f>IF(OR(C94="",B94="",B94=0),"",5.51*(C94/(B94^3)))</f>
        <v>4.8827971415794247</v>
      </c>
      <c r="H94">
        <v>6354</v>
      </c>
      <c r="I94">
        <v>2.3144082788315163</v>
      </c>
      <c r="J94">
        <v>2.5000000000000001E-2</v>
      </c>
      <c r="L94">
        <f>IF(AND(B94&gt;=0.8,B94&lt;=1.5),1,IF(AND(B94&gt;=0.5,B94&lt;=2),0.5,0))</f>
        <v>0</v>
      </c>
      <c r="M94">
        <f>IF(AND(C94&gt;=0.5,C94&lt;=2),1,IF(AND(C94&gt;=0.1,C94&lt;=5),0.5,0))</f>
        <v>0</v>
      </c>
      <c r="N94">
        <f>IF(AND(G94&gt;=4,G94&lt;=7),1,IF(AND(G94&gt;=3,G94&lt;=8),0.5,0))</f>
        <v>1</v>
      </c>
      <c r="O94">
        <f>IF(AND(F94&gt;=270,F94&lt;=310),1,IF(AND(F94&gt;=250,F94&lt;=330),0.5,0))</f>
        <v>0</v>
      </c>
      <c r="P94">
        <f>IF(AND(E94&gt;=0.8,E94&lt;=1.5),1,IF(AND(E94&gt;=0.5,E94&lt;=2),0.5,0))</f>
        <v>0</v>
      </c>
      <c r="Q94">
        <f>IF(AND(H94&gt;=5000,H94&lt;=6000),1,IF(AND(H94&gt;=4000,H94&lt;5000),0.5,0))</f>
        <v>0</v>
      </c>
      <c r="R94">
        <f>0.35*AVERAGE(L94:M94:N94)+0.3*O94+0.2*P94+0.15*Q94</f>
        <v>0.11666666666666665</v>
      </c>
      <c r="S94" t="str">
        <f>LEFT(K94,1)</f>
        <v/>
      </c>
      <c r="T94">
        <f>IF(S94="G",1,0)</f>
        <v>0</v>
      </c>
      <c r="U94">
        <f>IF(S94="K",1,0)</f>
        <v>0</v>
      </c>
      <c r="V94">
        <f>IF(S94="M",1,0)</f>
        <v>0</v>
      </c>
      <c r="W94">
        <f>IF(S94="F",1,0)</f>
        <v>0</v>
      </c>
    </row>
    <row r="95" spans="1:23" x14ac:dyDescent="0.3">
      <c r="A95" t="s">
        <v>699</v>
      </c>
      <c r="B95">
        <v>10.73820351</v>
      </c>
      <c r="D95">
        <v>8.8349779999999996</v>
      </c>
      <c r="E95">
        <v>7.6999999999999999E-2</v>
      </c>
      <c r="F95">
        <v>854</v>
      </c>
      <c r="G95" t="str">
        <f>IF(OR(C95="",B95="",B95=0),"",5.51*(C95/(B95^3)))</f>
        <v/>
      </c>
      <c r="H95">
        <v>4080</v>
      </c>
      <c r="I95">
        <v>0.52271685819170843</v>
      </c>
      <c r="L95">
        <f>IF(AND(B95&gt;=0.8,B95&lt;=1.5),1,IF(AND(B95&gt;=0.5,B95&lt;=2),0.5,0))</f>
        <v>0</v>
      </c>
      <c r="M95">
        <f>IF(AND(C95&gt;=0.5,C95&lt;=2),1,IF(AND(C95&gt;=0.1,C95&lt;=5),0.5,0))</f>
        <v>0</v>
      </c>
      <c r="N95">
        <f>IF(AND(G95&gt;=4,G95&lt;=7),1,IF(AND(G95&gt;=3,G95&lt;=8),0.5,0))</f>
        <v>0</v>
      </c>
      <c r="O95">
        <f>IF(AND(F95&gt;=270,F95&lt;=310),1,IF(AND(F95&gt;=250,F95&lt;=330),0.5,0))</f>
        <v>0</v>
      </c>
      <c r="P95">
        <f>IF(AND(E95&gt;=0.8,E95&lt;=1.5),1,IF(AND(E95&gt;=0.5,E95&lt;=2),0.5,0))</f>
        <v>0</v>
      </c>
      <c r="Q95">
        <f>IF(AND(H95&gt;=5000,H95&lt;=6000),1,IF(AND(H95&gt;=4000,H95&lt;5000),0.5,0))</f>
        <v>0.5</v>
      </c>
      <c r="R95">
        <f>0.35*AVERAGE(L95:M95:N95)+0.3*O95+0.2*P95+0.15*Q95</f>
        <v>7.4999999999999997E-2</v>
      </c>
      <c r="S95" t="str">
        <f>LEFT(K95,1)</f>
        <v/>
      </c>
      <c r="T95">
        <f>IF(S95="G",1,0)</f>
        <v>0</v>
      </c>
      <c r="U95">
        <f>IF(S95="K",1,0)</f>
        <v>0</v>
      </c>
      <c r="V95">
        <f>IF(S95="M",1,0)</f>
        <v>0</v>
      </c>
      <c r="W95">
        <f>IF(S95="F",1,0)</f>
        <v>0</v>
      </c>
    </row>
    <row r="96" spans="1:23" x14ac:dyDescent="0.3">
      <c r="A96" t="s">
        <v>698</v>
      </c>
      <c r="B96">
        <v>1.63</v>
      </c>
      <c r="C96">
        <v>4.07</v>
      </c>
      <c r="D96">
        <v>1.40152604</v>
      </c>
      <c r="E96">
        <v>2.0799999999999999E-2</v>
      </c>
      <c r="F96">
        <v>998</v>
      </c>
      <c r="G96">
        <f>IF(OR(C96="",B96="",B96=0),"",5.51*(C96/(B96^3)))</f>
        <v>5.1782521583458934</v>
      </c>
      <c r="H96">
        <v>3842</v>
      </c>
      <c r="I96">
        <v>7.1317016968009045E-2</v>
      </c>
      <c r="J96">
        <v>-0.03</v>
      </c>
      <c r="K96" t="s">
        <v>161</v>
      </c>
      <c r="L96">
        <f>IF(AND(B96&gt;=0.8,B96&lt;=1.5),1,IF(AND(B96&gt;=0.5,B96&lt;=2),0.5,0))</f>
        <v>0.5</v>
      </c>
      <c r="M96">
        <f>IF(AND(C96&gt;=0.5,C96&lt;=2),1,IF(AND(C96&gt;=0.1,C96&lt;=5),0.5,0))</f>
        <v>0.5</v>
      </c>
      <c r="N96">
        <f>IF(AND(G96&gt;=4,G96&lt;=7),1,IF(AND(G96&gt;=3,G96&lt;=8),0.5,0))</f>
        <v>1</v>
      </c>
      <c r="O96">
        <f>IF(AND(F96&gt;=270,F96&lt;=310),1,IF(AND(F96&gt;=250,F96&lt;=330),0.5,0))</f>
        <v>0</v>
      </c>
      <c r="P96">
        <f>IF(AND(E96&gt;=0.8,E96&lt;=1.5),1,IF(AND(E96&gt;=0.5,E96&lt;=2),0.5,0))</f>
        <v>0</v>
      </c>
      <c r="Q96">
        <f>IF(AND(H96&gt;=5000,H96&lt;=6000),1,IF(AND(H96&gt;=4000,H96&lt;5000),0.5,0))</f>
        <v>0</v>
      </c>
      <c r="R96">
        <f>0.35*AVERAGE(L96:M96:N96)+0.3*O96+0.2*P96+0.15*Q96</f>
        <v>0.23333333333333331</v>
      </c>
      <c r="S96" t="str">
        <f>LEFT(K96,1)</f>
        <v>M</v>
      </c>
      <c r="T96">
        <f>IF(S96="G",1,0)</f>
        <v>0</v>
      </c>
      <c r="U96">
        <f>IF(S96="K",1,0)</f>
        <v>0</v>
      </c>
      <c r="V96">
        <f>IF(S96="M",1,0)</f>
        <v>1</v>
      </c>
      <c r="W96">
        <f>IF(S96="F",1,0)</f>
        <v>0</v>
      </c>
    </row>
    <row r="97" spans="1:23" x14ac:dyDescent="0.3">
      <c r="A97" t="s">
        <v>697</v>
      </c>
      <c r="B97">
        <v>0.83699999999999997</v>
      </c>
      <c r="C97">
        <v>0.46</v>
      </c>
      <c r="D97">
        <v>2.2531140000000001</v>
      </c>
      <c r="E97">
        <v>2.23E-2</v>
      </c>
      <c r="F97">
        <v>620</v>
      </c>
      <c r="G97">
        <f>IF(OR(C97="",B97="",B97=0),"",5.51*(C97/(B97^3)))</f>
        <v>4.3224806377007221</v>
      </c>
      <c r="H97">
        <v>3415</v>
      </c>
      <c r="I97">
        <v>1.214650712333204E-2</v>
      </c>
      <c r="J97">
        <v>-0.46</v>
      </c>
      <c r="K97" t="s">
        <v>521</v>
      </c>
      <c r="L97">
        <f>IF(AND(B97&gt;=0.8,B97&lt;=1.5),1,IF(AND(B97&gt;=0.5,B97&lt;=2),0.5,0))</f>
        <v>1</v>
      </c>
      <c r="M97">
        <f>IF(AND(C97&gt;=0.5,C97&lt;=2),1,IF(AND(C97&gt;=0.1,C97&lt;=5),0.5,0))</f>
        <v>0.5</v>
      </c>
      <c r="N97">
        <f>IF(AND(G97&gt;=4,G97&lt;=7),1,IF(AND(G97&gt;=3,G97&lt;=8),0.5,0))</f>
        <v>1</v>
      </c>
      <c r="O97">
        <f>IF(AND(F97&gt;=270,F97&lt;=310),1,IF(AND(F97&gt;=250,F97&lt;=330),0.5,0))</f>
        <v>0</v>
      </c>
      <c r="P97">
        <f>IF(AND(E97&gt;=0.8,E97&lt;=1.5),1,IF(AND(E97&gt;=0.5,E97&lt;=2),0.5,0))</f>
        <v>0</v>
      </c>
      <c r="Q97">
        <f>IF(AND(H97&gt;=5000,H97&lt;=6000),1,IF(AND(H97&gt;=4000,H97&lt;5000),0.5,0))</f>
        <v>0</v>
      </c>
      <c r="R97">
        <f>0.35*AVERAGE(L97:M97:N97)+0.3*O97+0.2*P97+0.15*Q97</f>
        <v>0.29166666666666669</v>
      </c>
      <c r="S97" t="str">
        <f>LEFT(K97,1)</f>
        <v>M</v>
      </c>
      <c r="T97">
        <f>IF(S97="G",1,0)</f>
        <v>0</v>
      </c>
      <c r="U97">
        <f>IF(S97="K",1,0)</f>
        <v>0</v>
      </c>
      <c r="V97">
        <f>IF(S97="M",1,0)</f>
        <v>1</v>
      </c>
      <c r="W97">
        <f>IF(S97="F",1,0)</f>
        <v>0</v>
      </c>
    </row>
    <row r="98" spans="1:23" x14ac:dyDescent="0.3">
      <c r="A98" t="s">
        <v>696</v>
      </c>
      <c r="B98">
        <v>1.329</v>
      </c>
      <c r="C98">
        <v>2</v>
      </c>
      <c r="D98">
        <v>3.6906764000000001</v>
      </c>
      <c r="E98">
        <v>3.09E-2</v>
      </c>
      <c r="F98">
        <v>526</v>
      </c>
      <c r="G98">
        <f>IF(OR(C98="",B98="",B98=0),"",5.51*(C98/(B98^3)))</f>
        <v>4.6946870974626655</v>
      </c>
      <c r="H98">
        <v>3415</v>
      </c>
      <c r="I98">
        <v>1.214650712333204E-2</v>
      </c>
      <c r="J98">
        <v>-0.46</v>
      </c>
      <c r="K98" t="s">
        <v>521</v>
      </c>
      <c r="L98">
        <f>IF(AND(B98&gt;=0.8,B98&lt;=1.5),1,IF(AND(B98&gt;=0.5,B98&lt;=2),0.5,0))</f>
        <v>1</v>
      </c>
      <c r="M98">
        <f>IF(AND(C98&gt;=0.5,C98&lt;=2),1,IF(AND(C98&gt;=0.1,C98&lt;=5),0.5,0))</f>
        <v>1</v>
      </c>
      <c r="N98">
        <f>IF(AND(G98&gt;=4,G98&lt;=7),1,IF(AND(G98&gt;=3,G98&lt;=8),0.5,0))</f>
        <v>1</v>
      </c>
      <c r="O98">
        <f>IF(AND(F98&gt;=270,F98&lt;=310),1,IF(AND(F98&gt;=250,F98&lt;=330),0.5,0))</f>
        <v>0</v>
      </c>
      <c r="P98">
        <f>IF(AND(E98&gt;=0.8,E98&lt;=1.5),1,IF(AND(E98&gt;=0.5,E98&lt;=2),0.5,0))</f>
        <v>0</v>
      </c>
      <c r="Q98">
        <f>IF(AND(H98&gt;=5000,H98&lt;=6000),1,IF(AND(H98&gt;=4000,H98&lt;5000),0.5,0))</f>
        <v>0</v>
      </c>
      <c r="R98">
        <f>0.35*AVERAGE(L98:M98:N98)+0.3*O98+0.2*P98+0.15*Q98</f>
        <v>0.35</v>
      </c>
      <c r="S98" t="str">
        <f>LEFT(K98,1)</f>
        <v>M</v>
      </c>
      <c r="T98">
        <f>IF(S98="G",1,0)</f>
        <v>0</v>
      </c>
      <c r="U98">
        <f>IF(S98="K",1,0)</f>
        <v>0</v>
      </c>
      <c r="V98">
        <f>IF(S98="M",1,0)</f>
        <v>1</v>
      </c>
      <c r="W98">
        <f>IF(S98="F",1,0)</f>
        <v>0</v>
      </c>
    </row>
    <row r="99" spans="1:23" x14ac:dyDescent="0.3">
      <c r="A99" t="s">
        <v>695</v>
      </c>
      <c r="B99">
        <v>1.627</v>
      </c>
      <c r="C99">
        <v>1.64</v>
      </c>
      <c r="D99">
        <v>7.4507289999999999</v>
      </c>
      <c r="E99">
        <v>4.9399999999999999E-2</v>
      </c>
      <c r="F99">
        <v>416</v>
      </c>
      <c r="G99">
        <f>IF(OR(C99="",B99="",B99=0),"",5.51*(C99/(B99^3)))</f>
        <v>2.0981319060696695</v>
      </c>
      <c r="H99">
        <v>3415</v>
      </c>
      <c r="I99">
        <v>1.214650712333204E-2</v>
      </c>
      <c r="J99">
        <v>-0.46</v>
      </c>
      <c r="K99" t="s">
        <v>521</v>
      </c>
      <c r="L99">
        <f>IF(AND(B99&gt;=0.8,B99&lt;=1.5),1,IF(AND(B99&gt;=0.5,B99&lt;=2),0.5,0))</f>
        <v>0.5</v>
      </c>
      <c r="M99">
        <f>IF(AND(C99&gt;=0.5,C99&lt;=2),1,IF(AND(C99&gt;=0.1,C99&lt;=5),0.5,0))</f>
        <v>1</v>
      </c>
      <c r="N99">
        <f>IF(AND(G99&gt;=4,G99&lt;=7),1,IF(AND(G99&gt;=3,G99&lt;=8),0.5,0))</f>
        <v>0</v>
      </c>
      <c r="O99">
        <f>IF(AND(F99&gt;=270,F99&lt;=310),1,IF(AND(F99&gt;=250,F99&lt;=330),0.5,0))</f>
        <v>0</v>
      </c>
      <c r="P99">
        <f>IF(AND(E99&gt;=0.8,E99&lt;=1.5),1,IF(AND(E99&gt;=0.5,E99&lt;=2),0.5,0))</f>
        <v>0</v>
      </c>
      <c r="Q99">
        <f>IF(AND(H99&gt;=5000,H99&lt;=6000),1,IF(AND(H99&gt;=4000,H99&lt;5000),0.5,0))</f>
        <v>0</v>
      </c>
      <c r="R99">
        <f>0.35*AVERAGE(L99:M99:N99)+0.3*O99+0.2*P99+0.15*Q99</f>
        <v>0.17499999999999999</v>
      </c>
      <c r="S99" t="str">
        <f>LEFT(K99,1)</f>
        <v>M</v>
      </c>
      <c r="T99">
        <f>IF(S99="G",1,0)</f>
        <v>0</v>
      </c>
      <c r="U99">
        <f>IF(S99="K",1,0)</f>
        <v>0</v>
      </c>
      <c r="V99">
        <f>IF(S99="M",1,0)</f>
        <v>1</v>
      </c>
      <c r="W99">
        <f>IF(S99="F",1,0)</f>
        <v>0</v>
      </c>
    </row>
    <row r="100" spans="1:23" x14ac:dyDescent="0.3">
      <c r="A100" t="s">
        <v>694</v>
      </c>
      <c r="B100">
        <v>1.242</v>
      </c>
      <c r="C100">
        <v>2.33</v>
      </c>
      <c r="D100">
        <v>1.9495378000000001</v>
      </c>
      <c r="E100">
        <v>1.848E-2</v>
      </c>
      <c r="F100">
        <v>595</v>
      </c>
      <c r="G100">
        <f>IF(OR(C100="",B100="",B100=0),"",5.51*(C100/(B100^3)))</f>
        <v>6.7010480545010234</v>
      </c>
      <c r="H100">
        <v>3381</v>
      </c>
      <c r="I100">
        <v>7.0948096365904137E-3</v>
      </c>
      <c r="J100">
        <v>-0.13</v>
      </c>
      <c r="K100" t="s">
        <v>693</v>
      </c>
      <c r="L100">
        <f>IF(AND(B100&gt;=0.8,B100&lt;=1.5),1,IF(AND(B100&gt;=0.5,B100&lt;=2),0.5,0))</f>
        <v>1</v>
      </c>
      <c r="M100">
        <f>IF(AND(C100&gt;=0.5,C100&lt;=2),1,IF(AND(C100&gt;=0.1,C100&lt;=5),0.5,0))</f>
        <v>0.5</v>
      </c>
      <c r="N100">
        <f>IF(AND(G100&gt;=4,G100&lt;=7),1,IF(AND(G100&gt;=3,G100&lt;=8),0.5,0))</f>
        <v>1</v>
      </c>
      <c r="O100">
        <f>IF(AND(F100&gt;=270,F100&lt;=310),1,IF(AND(F100&gt;=250,F100&lt;=330),0.5,0))</f>
        <v>0</v>
      </c>
      <c r="P100">
        <f>IF(AND(E100&gt;=0.8,E100&lt;=1.5),1,IF(AND(E100&gt;=0.5,E100&lt;=2),0.5,0))</f>
        <v>0</v>
      </c>
      <c r="Q100">
        <f>IF(AND(H100&gt;=5000,H100&lt;=6000),1,IF(AND(H100&gt;=4000,H100&lt;5000),0.5,0))</f>
        <v>0</v>
      </c>
      <c r="R100">
        <f>0.35*AVERAGE(L100:M100:N100)+0.3*O100+0.2*P100+0.15*Q100</f>
        <v>0.29166666666666669</v>
      </c>
      <c r="S100" t="str">
        <f>LEFT(K100,1)</f>
        <v>m</v>
      </c>
      <c r="T100">
        <f>IF(S100="G",1,0)</f>
        <v>0</v>
      </c>
      <c r="U100">
        <f>IF(S100="K",1,0)</f>
        <v>0</v>
      </c>
      <c r="V100">
        <f>IF(S100="M",1,0)</f>
        <v>1</v>
      </c>
      <c r="W100">
        <f>IF(S100="F",1,0)</f>
        <v>0</v>
      </c>
    </row>
    <row r="101" spans="1:23" x14ac:dyDescent="0.3">
      <c r="A101" t="s">
        <v>692</v>
      </c>
      <c r="B101">
        <v>0.68500000000000005</v>
      </c>
      <c r="D101">
        <v>0.86023249999999996</v>
      </c>
      <c r="E101">
        <v>1.239E-2</v>
      </c>
      <c r="G101" t="str">
        <f>IF(OR(C101="",B101="",B101=0),"",5.51*(C101/(B101^3)))</f>
        <v/>
      </c>
      <c r="H101">
        <v>3490</v>
      </c>
      <c r="I101">
        <v>1.4407325020550052E-2</v>
      </c>
      <c r="K101" t="s">
        <v>622</v>
      </c>
      <c r="L101">
        <f>IF(AND(B101&gt;=0.8,B101&lt;=1.5),1,IF(AND(B101&gt;=0.5,B101&lt;=2),0.5,0))</f>
        <v>0.5</v>
      </c>
      <c r="M101">
        <f>IF(AND(C101&gt;=0.5,C101&lt;=2),1,IF(AND(C101&gt;=0.1,C101&lt;=5),0.5,0))</f>
        <v>0</v>
      </c>
      <c r="N101">
        <f>IF(AND(G101&gt;=4,G101&lt;=7),1,IF(AND(G101&gt;=3,G101&lt;=8),0.5,0))</f>
        <v>0</v>
      </c>
      <c r="O101">
        <f>IF(AND(F101&gt;=270,F101&lt;=310),1,IF(AND(F101&gt;=250,F101&lt;=330),0.5,0))</f>
        <v>0</v>
      </c>
      <c r="P101">
        <f>IF(AND(E101&gt;=0.8,E101&lt;=1.5),1,IF(AND(E101&gt;=0.5,E101&lt;=2),0.5,0))</f>
        <v>0</v>
      </c>
      <c r="Q101">
        <f>IF(AND(H101&gt;=5000,H101&lt;=6000),1,IF(AND(H101&gt;=4000,H101&lt;5000),0.5,0))</f>
        <v>0</v>
      </c>
      <c r="R101">
        <f>0.35*AVERAGE(L101:M101:N101)+0.3*O101+0.2*P101+0.15*Q101</f>
        <v>5.8333333333333327E-2</v>
      </c>
      <c r="S101" t="str">
        <f>LEFT(K101,1)</f>
        <v>M</v>
      </c>
      <c r="T101">
        <f>IF(S101="G",1,0)</f>
        <v>0</v>
      </c>
      <c r="U101">
        <f>IF(S101="K",1,0)</f>
        <v>0</v>
      </c>
      <c r="V101">
        <f>IF(S101="M",1,0)</f>
        <v>1</v>
      </c>
      <c r="W101">
        <f>IF(S101="F",1,0)</f>
        <v>0</v>
      </c>
    </row>
    <row r="102" spans="1:23" x14ac:dyDescent="0.3">
      <c r="A102" t="s">
        <v>691</v>
      </c>
      <c r="B102">
        <v>0.94099999999999995</v>
      </c>
      <c r="D102">
        <v>3.6942840000000001</v>
      </c>
      <c r="E102">
        <v>3.27E-2</v>
      </c>
      <c r="G102" t="str">
        <f>IF(OR(C102="",B102="",B102=0),"",5.51*(C102/(B102^3)))</f>
        <v/>
      </c>
      <c r="H102">
        <v>3490</v>
      </c>
      <c r="I102">
        <v>1.4407325020550052E-2</v>
      </c>
      <c r="K102" t="s">
        <v>622</v>
      </c>
      <c r="L102">
        <f>IF(AND(B102&gt;=0.8,B102&lt;=1.5),1,IF(AND(B102&gt;=0.5,B102&lt;=2),0.5,0))</f>
        <v>1</v>
      </c>
      <c r="M102">
        <f>IF(AND(C102&gt;=0.5,C102&lt;=2),1,IF(AND(C102&gt;=0.1,C102&lt;=5),0.5,0))</f>
        <v>0</v>
      </c>
      <c r="N102">
        <f>IF(AND(G102&gt;=4,G102&lt;=7),1,IF(AND(G102&gt;=3,G102&lt;=8),0.5,0))</f>
        <v>0</v>
      </c>
      <c r="O102">
        <f>IF(AND(F102&gt;=270,F102&lt;=310),1,IF(AND(F102&gt;=250,F102&lt;=330),0.5,0))</f>
        <v>0</v>
      </c>
      <c r="P102">
        <f>IF(AND(E102&gt;=0.8,E102&lt;=1.5),1,IF(AND(E102&gt;=0.5,E102&lt;=2),0.5,0))</f>
        <v>0</v>
      </c>
      <c r="Q102">
        <f>IF(AND(H102&gt;=5000,H102&lt;=6000),1,IF(AND(H102&gt;=4000,H102&lt;5000),0.5,0))</f>
        <v>0</v>
      </c>
      <c r="R102">
        <f>0.35*AVERAGE(L102:M102:N102)+0.3*O102+0.2*P102+0.15*Q102</f>
        <v>0.11666666666666665</v>
      </c>
      <c r="S102" t="str">
        <f>LEFT(K102,1)</f>
        <v>M</v>
      </c>
      <c r="T102">
        <f>IF(S102="G",1,0)</f>
        <v>0</v>
      </c>
      <c r="U102">
        <f>IF(S102="K",1,0)</f>
        <v>0</v>
      </c>
      <c r="V102">
        <f>IF(S102="M",1,0)</f>
        <v>1</v>
      </c>
      <c r="W102">
        <f>IF(S102="F",1,0)</f>
        <v>0</v>
      </c>
    </row>
    <row r="103" spans="1:23" x14ac:dyDescent="0.3">
      <c r="A103" t="s">
        <v>690</v>
      </c>
      <c r="B103">
        <v>0.98099999999999998</v>
      </c>
      <c r="D103">
        <v>4.9652228999999997</v>
      </c>
      <c r="E103">
        <v>0.04</v>
      </c>
      <c r="G103" t="str">
        <f>IF(OR(C103="",B103="",B103=0),"",5.51*(C103/(B103^3)))</f>
        <v/>
      </c>
      <c r="H103">
        <v>3490</v>
      </c>
      <c r="I103">
        <v>1.4407325020550052E-2</v>
      </c>
      <c r="K103" t="s">
        <v>622</v>
      </c>
      <c r="L103">
        <f>IF(AND(B103&gt;=0.8,B103&lt;=1.5),1,IF(AND(B103&gt;=0.5,B103&lt;=2),0.5,0))</f>
        <v>1</v>
      </c>
      <c r="M103">
        <f>IF(AND(C103&gt;=0.5,C103&lt;=2),1,IF(AND(C103&gt;=0.1,C103&lt;=5),0.5,0))</f>
        <v>0</v>
      </c>
      <c r="N103">
        <f>IF(AND(G103&gt;=4,G103&lt;=7),1,IF(AND(G103&gt;=3,G103&lt;=8),0.5,0))</f>
        <v>0</v>
      </c>
      <c r="O103">
        <f>IF(AND(F103&gt;=270,F103&lt;=310),1,IF(AND(F103&gt;=250,F103&lt;=330),0.5,0))</f>
        <v>0</v>
      </c>
      <c r="P103">
        <f>IF(AND(E103&gt;=0.8,E103&lt;=1.5),1,IF(AND(E103&gt;=0.5,E103&lt;=2),0.5,0))</f>
        <v>0</v>
      </c>
      <c r="Q103">
        <f>IF(AND(H103&gt;=5000,H103&lt;=6000),1,IF(AND(H103&gt;=4000,H103&lt;5000),0.5,0))</f>
        <v>0</v>
      </c>
      <c r="R103">
        <f>0.35*AVERAGE(L103:M103:N103)+0.3*O103+0.2*P103+0.15*Q103</f>
        <v>0.11666666666666665</v>
      </c>
      <c r="S103" t="str">
        <f>LEFT(K103,1)</f>
        <v>M</v>
      </c>
      <c r="T103">
        <f>IF(S103="G",1,0)</f>
        <v>0</v>
      </c>
      <c r="U103">
        <f>IF(S103="K",1,0)</f>
        <v>0</v>
      </c>
      <c r="V103">
        <f>IF(S103="M",1,0)</f>
        <v>1</v>
      </c>
      <c r="W103">
        <f>IF(S103="F",1,0)</f>
        <v>0</v>
      </c>
    </row>
    <row r="104" spans="1:23" x14ac:dyDescent="0.3">
      <c r="A104" t="s">
        <v>689</v>
      </c>
      <c r="B104">
        <v>1.0880000000000001</v>
      </c>
      <c r="C104">
        <v>1.58</v>
      </c>
      <c r="D104">
        <v>3.8143340000000001</v>
      </c>
      <c r="G104">
        <f>IF(OR(C104="",B104="",B104=0),"",5.51*(C104/(B104^3)))</f>
        <v>6.7596156024991085</v>
      </c>
      <c r="H104">
        <v>3643</v>
      </c>
      <c r="I104">
        <v>3.9664500238553106E-2</v>
      </c>
      <c r="J104">
        <v>-0.12</v>
      </c>
      <c r="K104" t="s">
        <v>281</v>
      </c>
      <c r="L104">
        <f>IF(AND(B104&gt;=0.8,B104&lt;=1.5),1,IF(AND(B104&gt;=0.5,B104&lt;=2),0.5,0))</f>
        <v>1</v>
      </c>
      <c r="M104">
        <f>IF(AND(C104&gt;=0.5,C104&lt;=2),1,IF(AND(C104&gt;=0.1,C104&lt;=5),0.5,0))</f>
        <v>1</v>
      </c>
      <c r="N104">
        <f>IF(AND(G104&gt;=4,G104&lt;=7),1,IF(AND(G104&gt;=3,G104&lt;=8),0.5,0))</f>
        <v>1</v>
      </c>
      <c r="O104">
        <f>IF(AND(F104&gt;=270,F104&lt;=310),1,IF(AND(F104&gt;=250,F104&lt;=330),0.5,0))</f>
        <v>0</v>
      </c>
      <c r="P104">
        <f>IF(AND(E104&gt;=0.8,E104&lt;=1.5),1,IF(AND(E104&gt;=0.5,E104&lt;=2),0.5,0))</f>
        <v>0</v>
      </c>
      <c r="Q104">
        <f>IF(AND(H104&gt;=5000,H104&lt;=6000),1,IF(AND(H104&gt;=4000,H104&lt;5000),0.5,0))</f>
        <v>0</v>
      </c>
      <c r="R104">
        <f>0.35*AVERAGE(L104:M104:N104)+0.3*O104+0.2*P104+0.15*Q104</f>
        <v>0.35</v>
      </c>
      <c r="S104" t="str">
        <f>LEFT(K104,1)</f>
        <v>M</v>
      </c>
      <c r="T104">
        <f>IF(S104="G",1,0)</f>
        <v>0</v>
      </c>
      <c r="U104">
        <f>IF(S104="K",1,0)</f>
        <v>0</v>
      </c>
      <c r="V104">
        <f>IF(S104="M",1,0)</f>
        <v>1</v>
      </c>
      <c r="W104">
        <f>IF(S104="F",1,0)</f>
        <v>0</v>
      </c>
    </row>
    <row r="105" spans="1:23" x14ac:dyDescent="0.3">
      <c r="A105" t="s">
        <v>688</v>
      </c>
      <c r="B105">
        <v>1.3029999999999999</v>
      </c>
      <c r="D105">
        <v>0.46292913000000002</v>
      </c>
      <c r="E105">
        <v>6.2199999999999998E-3</v>
      </c>
      <c r="F105">
        <v>805</v>
      </c>
      <c r="G105" t="str">
        <f>IF(OR(C105="",B105="",B105=0),"",5.51*(C105/(B105^3)))</f>
        <v/>
      </c>
      <c r="H105">
        <v>3036</v>
      </c>
      <c r="I105">
        <v>2.7228300013448395E-3</v>
      </c>
      <c r="K105" t="s">
        <v>687</v>
      </c>
      <c r="L105">
        <f>IF(AND(B105&gt;=0.8,B105&lt;=1.5),1,IF(AND(B105&gt;=0.5,B105&lt;=2),0.5,0))</f>
        <v>1</v>
      </c>
      <c r="M105">
        <f>IF(AND(C105&gt;=0.5,C105&lt;=2),1,IF(AND(C105&gt;=0.1,C105&lt;=5),0.5,0))</f>
        <v>0</v>
      </c>
      <c r="N105">
        <f>IF(AND(G105&gt;=4,G105&lt;=7),1,IF(AND(G105&gt;=3,G105&lt;=8),0.5,0))</f>
        <v>0</v>
      </c>
      <c r="O105">
        <f>IF(AND(F105&gt;=270,F105&lt;=310),1,IF(AND(F105&gt;=250,F105&lt;=330),0.5,0))</f>
        <v>0</v>
      </c>
      <c r="P105">
        <f>IF(AND(E105&gt;=0.8,E105&lt;=1.5),1,IF(AND(E105&gt;=0.5,E105&lt;=2),0.5,0))</f>
        <v>0</v>
      </c>
      <c r="Q105">
        <f>IF(AND(H105&gt;=5000,H105&lt;=6000),1,IF(AND(H105&gt;=4000,H105&lt;5000),0.5,0))</f>
        <v>0</v>
      </c>
      <c r="R105">
        <f>0.35*AVERAGE(L105:M105:N105)+0.3*O105+0.2*P105+0.15*Q105</f>
        <v>0.11666666666666665</v>
      </c>
      <c r="S105" t="str">
        <f>LEFT(K105,1)</f>
        <v>M</v>
      </c>
      <c r="T105">
        <f>IF(S105="G",1,0)</f>
        <v>0</v>
      </c>
      <c r="U105">
        <f>IF(S105="K",1,0)</f>
        <v>0</v>
      </c>
      <c r="V105">
        <f>IF(S105="M",1,0)</f>
        <v>1</v>
      </c>
      <c r="W105">
        <f>IF(S105="F",1,0)</f>
        <v>0</v>
      </c>
    </row>
    <row r="106" spans="1:23" x14ac:dyDescent="0.3">
      <c r="A106" t="s">
        <v>686</v>
      </c>
      <c r="B106">
        <v>0.99099999999999999</v>
      </c>
      <c r="D106">
        <v>2.0290879999999998</v>
      </c>
      <c r="F106">
        <v>586</v>
      </c>
      <c r="G106" t="str">
        <f>IF(OR(C106="",B106="",B106=0),"",5.51*(C106/(B106^3)))</f>
        <v/>
      </c>
      <c r="H106">
        <v>3300</v>
      </c>
      <c r="I106">
        <v>8.2764222201378058E-3</v>
      </c>
      <c r="K106" t="s">
        <v>192</v>
      </c>
      <c r="L106">
        <f>IF(AND(B106&gt;=0.8,B106&lt;=1.5),1,IF(AND(B106&gt;=0.5,B106&lt;=2),0.5,0))</f>
        <v>1</v>
      </c>
      <c r="M106">
        <f>IF(AND(C106&gt;=0.5,C106&lt;=2),1,IF(AND(C106&gt;=0.1,C106&lt;=5),0.5,0))</f>
        <v>0</v>
      </c>
      <c r="N106">
        <f>IF(AND(G106&gt;=4,G106&lt;=7),1,IF(AND(G106&gt;=3,G106&lt;=8),0.5,0))</f>
        <v>0</v>
      </c>
      <c r="O106">
        <f>IF(AND(F106&gt;=270,F106&lt;=310),1,IF(AND(F106&gt;=250,F106&lt;=330),0.5,0))</f>
        <v>0</v>
      </c>
      <c r="P106">
        <f>IF(AND(E106&gt;=0.8,E106&lt;=1.5),1,IF(AND(E106&gt;=0.5,E106&lt;=2),0.5,0))</f>
        <v>0</v>
      </c>
      <c r="Q106">
        <f>IF(AND(H106&gt;=5000,H106&lt;=6000),1,IF(AND(H106&gt;=4000,H106&lt;5000),0.5,0))</f>
        <v>0</v>
      </c>
      <c r="R106">
        <f>0.35*AVERAGE(L106:M106:N106)+0.3*O106+0.2*P106+0.15*Q106</f>
        <v>0.11666666666666665</v>
      </c>
      <c r="S106" t="str">
        <f>LEFT(K106,1)</f>
        <v>M</v>
      </c>
      <c r="T106">
        <f>IF(S106="G",1,0)</f>
        <v>0</v>
      </c>
      <c r="U106">
        <f>IF(S106="K",1,0)</f>
        <v>0</v>
      </c>
      <c r="V106">
        <f>IF(S106="M",1,0)</f>
        <v>1</v>
      </c>
      <c r="W106">
        <f>IF(S106="F",1,0)</f>
        <v>0</v>
      </c>
    </row>
    <row r="107" spans="1:23" x14ac:dyDescent="0.3">
      <c r="A107" t="s">
        <v>685</v>
      </c>
      <c r="B107">
        <v>4.7</v>
      </c>
      <c r="C107">
        <v>30.8</v>
      </c>
      <c r="D107">
        <v>4.0520370000000003</v>
      </c>
      <c r="E107">
        <v>4.1700000000000001E-2</v>
      </c>
      <c r="F107">
        <v>700</v>
      </c>
      <c r="G107">
        <f>IF(OR(C107="",B107="",B107=0),"",5.51*(C107/(B107^3)))</f>
        <v>1.6345896381341316</v>
      </c>
      <c r="H107">
        <v>3950</v>
      </c>
      <c r="I107">
        <v>7.4491020964111962E-2</v>
      </c>
      <c r="J107">
        <v>0.41</v>
      </c>
      <c r="K107" t="s">
        <v>494</v>
      </c>
      <c r="L107">
        <f>IF(AND(B107&gt;=0.8,B107&lt;=1.5),1,IF(AND(B107&gt;=0.5,B107&lt;=2),0.5,0))</f>
        <v>0</v>
      </c>
      <c r="M107">
        <f>IF(AND(C107&gt;=0.5,C107&lt;=2),1,IF(AND(C107&gt;=0.1,C107&lt;=5),0.5,0))</f>
        <v>0</v>
      </c>
      <c r="N107">
        <f>IF(AND(G107&gt;=4,G107&lt;=7),1,IF(AND(G107&gt;=3,G107&lt;=8),0.5,0))</f>
        <v>0</v>
      </c>
      <c r="O107">
        <f>IF(AND(F107&gt;=270,F107&lt;=310),1,IF(AND(F107&gt;=250,F107&lt;=330),0.5,0))</f>
        <v>0</v>
      </c>
      <c r="P107">
        <f>IF(AND(E107&gt;=0.8,E107&lt;=1.5),1,IF(AND(E107&gt;=0.5,E107&lt;=2),0.5,0))</f>
        <v>0</v>
      </c>
      <c r="Q107">
        <f>IF(AND(H107&gt;=5000,H107&lt;=6000),1,IF(AND(H107&gt;=4000,H107&lt;5000),0.5,0))</f>
        <v>0</v>
      </c>
      <c r="R107">
        <f>0.35*AVERAGE(L107:M107:N107)+0.3*O107+0.2*P107+0.15*Q107</f>
        <v>0</v>
      </c>
      <c r="S107" t="str">
        <f>LEFT(K107,1)</f>
        <v>M</v>
      </c>
      <c r="T107">
        <f>IF(S107="G",1,0)</f>
        <v>0</v>
      </c>
      <c r="U107">
        <f>IF(S107="K",1,0)</f>
        <v>0</v>
      </c>
      <c r="V107">
        <f>IF(S107="M",1,0)</f>
        <v>1</v>
      </c>
      <c r="W107">
        <f>IF(S107="F",1,0)</f>
        <v>0</v>
      </c>
    </row>
    <row r="108" spans="1:23" x14ac:dyDescent="0.3">
      <c r="A108" t="s">
        <v>684</v>
      </c>
      <c r="B108">
        <v>1.212</v>
      </c>
      <c r="D108">
        <v>0.94799809999999995</v>
      </c>
      <c r="E108">
        <v>9.7800000000000005E-3</v>
      </c>
      <c r="F108">
        <v>564.29999999999995</v>
      </c>
      <c r="G108" t="str">
        <f>IF(OR(C108="",B108="",B108=0),"",5.51*(C108/(B108^3)))</f>
        <v/>
      </c>
      <c r="H108">
        <v>2960</v>
      </c>
      <c r="I108">
        <v>2.2813896669411082E-3</v>
      </c>
      <c r="J108">
        <v>-0.09</v>
      </c>
      <c r="K108" t="s">
        <v>682</v>
      </c>
      <c r="L108">
        <f>IF(AND(B108&gt;=0.8,B108&lt;=1.5),1,IF(AND(B108&gt;=0.5,B108&lt;=2),0.5,0))</f>
        <v>1</v>
      </c>
      <c r="M108">
        <f>IF(AND(C108&gt;=0.5,C108&lt;=2),1,IF(AND(C108&gt;=0.1,C108&lt;=5),0.5,0))</f>
        <v>0</v>
      </c>
      <c r="N108">
        <f>IF(AND(G108&gt;=4,G108&lt;=7),1,IF(AND(G108&gt;=3,G108&lt;=8),0.5,0))</f>
        <v>0</v>
      </c>
      <c r="O108">
        <f>IF(AND(F108&gt;=270,F108&lt;=310),1,IF(AND(F108&gt;=250,F108&lt;=330),0.5,0))</f>
        <v>0</v>
      </c>
      <c r="P108">
        <f>IF(AND(E108&gt;=0.8,E108&lt;=1.5),1,IF(AND(E108&gt;=0.5,E108&lt;=2),0.5,0))</f>
        <v>0</v>
      </c>
      <c r="Q108">
        <f>IF(AND(H108&gt;=5000,H108&lt;=6000),1,IF(AND(H108&gt;=4000,H108&lt;5000),0.5,0))</f>
        <v>0</v>
      </c>
      <c r="R108">
        <f>0.35*AVERAGE(L108:M108:N108)+0.3*O108+0.2*P108+0.15*Q108</f>
        <v>0.11666666666666665</v>
      </c>
      <c r="S108" t="str">
        <f>LEFT(K108,1)</f>
        <v>M</v>
      </c>
      <c r="T108">
        <f>IF(S108="G",1,0)</f>
        <v>0</v>
      </c>
      <c r="U108">
        <f>IF(S108="K",1,0)</f>
        <v>0</v>
      </c>
      <c r="V108">
        <f>IF(S108="M",1,0)</f>
        <v>1</v>
      </c>
      <c r="W108">
        <f>IF(S108="F",1,0)</f>
        <v>0</v>
      </c>
    </row>
    <row r="109" spans="1:23" x14ac:dyDescent="0.3">
      <c r="A109" t="s">
        <v>683</v>
      </c>
      <c r="B109">
        <v>2.4380000000000002</v>
      </c>
      <c r="C109">
        <v>7.1</v>
      </c>
      <c r="D109">
        <v>4.9899092999999999</v>
      </c>
      <c r="E109">
        <v>2.9610000000000001E-2</v>
      </c>
      <c r="F109">
        <v>324.39999999999998</v>
      </c>
      <c r="G109">
        <f>IF(OR(C109="",B109="",B109=0),"",5.51*(C109/(B109^3)))</f>
        <v>2.6996585823544561</v>
      </c>
      <c r="H109">
        <v>2960</v>
      </c>
      <c r="I109">
        <v>2.2813896669411082E-3</v>
      </c>
      <c r="J109">
        <v>-0.09</v>
      </c>
      <c r="K109" t="s">
        <v>682</v>
      </c>
      <c r="L109">
        <f>IF(AND(B109&gt;=0.8,B109&lt;=1.5),1,IF(AND(B109&gt;=0.5,B109&lt;=2),0.5,0))</f>
        <v>0</v>
      </c>
      <c r="M109">
        <f>IF(AND(C109&gt;=0.5,C109&lt;=2),1,IF(AND(C109&gt;=0.1,C109&lt;=5),0.5,0))</f>
        <v>0</v>
      </c>
      <c r="N109">
        <f>IF(AND(G109&gt;=4,G109&lt;=7),1,IF(AND(G109&gt;=3,G109&lt;=8),0.5,0))</f>
        <v>0</v>
      </c>
      <c r="O109">
        <f>IF(AND(F109&gt;=270,F109&lt;=310),1,IF(AND(F109&gt;=250,F109&lt;=330),0.5,0))</f>
        <v>0.5</v>
      </c>
      <c r="P109">
        <f>IF(AND(E109&gt;=0.8,E109&lt;=1.5),1,IF(AND(E109&gt;=0.5,E109&lt;=2),0.5,0))</f>
        <v>0</v>
      </c>
      <c r="Q109">
        <f>IF(AND(H109&gt;=5000,H109&lt;=6000),1,IF(AND(H109&gt;=4000,H109&lt;5000),0.5,0))</f>
        <v>0</v>
      </c>
      <c r="R109">
        <f>0.35*AVERAGE(L109:M109:N109)+0.3*O109+0.2*P109+0.15*Q109</f>
        <v>0.15</v>
      </c>
      <c r="S109" t="str">
        <f>LEFT(K109,1)</f>
        <v>M</v>
      </c>
      <c r="T109">
        <f>IF(S109="G",1,0)</f>
        <v>0</v>
      </c>
      <c r="U109">
        <f>IF(S109="K",1,0)</f>
        <v>0</v>
      </c>
      <c r="V109">
        <f>IF(S109="M",1,0)</f>
        <v>1</v>
      </c>
      <c r="W109">
        <f>IF(S109="F",1,0)</f>
        <v>0</v>
      </c>
    </row>
    <row r="110" spans="1:23" x14ac:dyDescent="0.3">
      <c r="A110" t="s">
        <v>681</v>
      </c>
      <c r="B110">
        <v>1.32</v>
      </c>
      <c r="C110">
        <v>13.2</v>
      </c>
      <c r="D110">
        <v>2.7299025000000001</v>
      </c>
      <c r="E110">
        <v>1.8749999999999999E-2</v>
      </c>
      <c r="F110">
        <v>396</v>
      </c>
      <c r="G110">
        <f>IF(OR(C110="",B110="",B110=0),"",5.51*(C110/(B110^3)))</f>
        <v>31.623048668503209</v>
      </c>
      <c r="H110">
        <v>2850</v>
      </c>
      <c r="I110">
        <v>1.433139530273621E-3</v>
      </c>
      <c r="J110">
        <v>-2.8000000000000001E-2</v>
      </c>
      <c r="K110" t="s">
        <v>680</v>
      </c>
      <c r="L110">
        <f>IF(AND(B110&gt;=0.8,B110&lt;=1.5),1,IF(AND(B110&gt;=0.5,B110&lt;=2),0.5,0))</f>
        <v>1</v>
      </c>
      <c r="M110">
        <f>IF(AND(C110&gt;=0.5,C110&lt;=2),1,IF(AND(C110&gt;=0.1,C110&lt;=5),0.5,0))</f>
        <v>0</v>
      </c>
      <c r="N110">
        <f>IF(AND(G110&gt;=4,G110&lt;=7),1,IF(AND(G110&gt;=3,G110&lt;=8),0.5,0))</f>
        <v>0</v>
      </c>
      <c r="O110">
        <f>IF(AND(F110&gt;=270,F110&lt;=310),1,IF(AND(F110&gt;=250,F110&lt;=330),0.5,0))</f>
        <v>0</v>
      </c>
      <c r="P110">
        <f>IF(AND(E110&gt;=0.8,E110&lt;=1.5),1,IF(AND(E110&gt;=0.5,E110&lt;=2),0.5,0))</f>
        <v>0</v>
      </c>
      <c r="Q110">
        <f>IF(AND(H110&gt;=5000,H110&lt;=6000),1,IF(AND(H110&gt;=4000,H110&lt;5000),0.5,0))</f>
        <v>0</v>
      </c>
      <c r="R110">
        <f>0.35*AVERAGE(L110:M110:N110)+0.3*O110+0.2*P110+0.15*Q110</f>
        <v>0.11666666666666665</v>
      </c>
      <c r="S110" t="str">
        <f>LEFT(K110,1)</f>
        <v>M</v>
      </c>
      <c r="T110">
        <f>IF(S110="G",1,0)</f>
        <v>0</v>
      </c>
      <c r="U110">
        <f>IF(S110="K",1,0)</f>
        <v>0</v>
      </c>
      <c r="V110">
        <f>IF(S110="M",1,0)</f>
        <v>1</v>
      </c>
      <c r="W110">
        <f>IF(S110="F",1,0)</f>
        <v>0</v>
      </c>
    </row>
    <row r="111" spans="1:23" x14ac:dyDescent="0.3">
      <c r="A111" t="s">
        <v>679</v>
      </c>
      <c r="B111">
        <v>1.147</v>
      </c>
      <c r="C111">
        <v>1.54</v>
      </c>
      <c r="D111">
        <v>3.1239034999999999</v>
      </c>
      <c r="E111">
        <v>2.6610000000000002E-2</v>
      </c>
      <c r="F111">
        <v>508</v>
      </c>
      <c r="G111">
        <f>IF(OR(C111="",B111="",B111=0),"",5.51*(C111/(B111^3)))</f>
        <v>5.6231810401147744</v>
      </c>
      <c r="H111">
        <v>3340</v>
      </c>
      <c r="I111">
        <v>7.840927984821347E-3</v>
      </c>
      <c r="J111">
        <v>-0.34</v>
      </c>
      <c r="L111">
        <f>IF(AND(B111&gt;=0.8,B111&lt;=1.5),1,IF(AND(B111&gt;=0.5,B111&lt;=2),0.5,0))</f>
        <v>1</v>
      </c>
      <c r="M111">
        <f>IF(AND(C111&gt;=0.5,C111&lt;=2),1,IF(AND(C111&gt;=0.1,C111&lt;=5),0.5,0))</f>
        <v>1</v>
      </c>
      <c r="N111">
        <f>IF(AND(G111&gt;=4,G111&lt;=7),1,IF(AND(G111&gt;=3,G111&lt;=8),0.5,0))</f>
        <v>1</v>
      </c>
      <c r="O111">
        <f>IF(AND(F111&gt;=270,F111&lt;=310),1,IF(AND(F111&gt;=250,F111&lt;=330),0.5,0))</f>
        <v>0</v>
      </c>
      <c r="P111">
        <f>IF(AND(E111&gt;=0.8,E111&lt;=1.5),1,IF(AND(E111&gt;=0.5,E111&lt;=2),0.5,0))</f>
        <v>0</v>
      </c>
      <c r="Q111">
        <f>IF(AND(H111&gt;=5000,H111&lt;=6000),1,IF(AND(H111&gt;=4000,H111&lt;5000),0.5,0))</f>
        <v>0</v>
      </c>
      <c r="R111">
        <f>0.35*AVERAGE(L111:M111:N111)+0.3*O111+0.2*P111+0.15*Q111</f>
        <v>0.35</v>
      </c>
      <c r="S111" t="str">
        <f>LEFT(K111,1)</f>
        <v/>
      </c>
      <c r="T111">
        <f>IF(S111="G",1,0)</f>
        <v>0</v>
      </c>
      <c r="U111">
        <f>IF(S111="K",1,0)</f>
        <v>0</v>
      </c>
      <c r="V111">
        <f>IF(S111="M",1,0)</f>
        <v>0</v>
      </c>
      <c r="W111">
        <f>IF(S111="F",1,0)</f>
        <v>0</v>
      </c>
    </row>
    <row r="112" spans="1:23" x14ac:dyDescent="0.3">
      <c r="A112" t="s">
        <v>678</v>
      </c>
      <c r="B112">
        <v>1.325</v>
      </c>
      <c r="C112">
        <v>2.46</v>
      </c>
      <c r="D112">
        <v>0.76837931000000004</v>
      </c>
      <c r="E112">
        <v>1.1950000000000001E-2</v>
      </c>
      <c r="F112">
        <v>903</v>
      </c>
      <c r="G112">
        <f>IF(OR(C112="",B112="",B112=0),"",5.51*(C112/(B112^3)))</f>
        <v>5.8269202093002948</v>
      </c>
      <c r="H112">
        <v>3358</v>
      </c>
      <c r="I112">
        <v>1.6473269763053654E-2</v>
      </c>
      <c r="J112">
        <v>0.06</v>
      </c>
      <c r="L112">
        <f>IF(AND(B112&gt;=0.8,B112&lt;=1.5),1,IF(AND(B112&gt;=0.5,B112&lt;=2),0.5,0))</f>
        <v>1</v>
      </c>
      <c r="M112">
        <f>IF(AND(C112&gt;=0.5,C112&lt;=2),1,IF(AND(C112&gt;=0.1,C112&lt;=5),0.5,0))</f>
        <v>0.5</v>
      </c>
      <c r="N112">
        <f>IF(AND(G112&gt;=4,G112&lt;=7),1,IF(AND(G112&gt;=3,G112&lt;=8),0.5,0))</f>
        <v>1</v>
      </c>
      <c r="O112">
        <f>IF(AND(F112&gt;=270,F112&lt;=310),1,IF(AND(F112&gt;=250,F112&lt;=330),0.5,0))</f>
        <v>0</v>
      </c>
      <c r="P112">
        <f>IF(AND(E112&gt;=0.8,E112&lt;=1.5),1,IF(AND(E112&gt;=0.5,E112&lt;=2),0.5,0))</f>
        <v>0</v>
      </c>
      <c r="Q112">
        <f>IF(AND(H112&gt;=5000,H112&lt;=6000),1,IF(AND(H112&gt;=4000,H112&lt;5000),0.5,0))</f>
        <v>0</v>
      </c>
      <c r="R112">
        <f>0.35*AVERAGE(L112:M112:N112)+0.3*O112+0.2*P112+0.15*Q112</f>
        <v>0.29166666666666669</v>
      </c>
      <c r="S112" t="str">
        <f>LEFT(K112,1)</f>
        <v/>
      </c>
      <c r="T112">
        <f>IF(S112="G",1,0)</f>
        <v>0</v>
      </c>
      <c r="U112">
        <f>IF(S112="K",1,0)</f>
        <v>0</v>
      </c>
      <c r="V112">
        <f>IF(S112="M",1,0)</f>
        <v>0</v>
      </c>
      <c r="W112">
        <f>IF(S112="F",1,0)</f>
        <v>0</v>
      </c>
    </row>
    <row r="113" spans="1:23" x14ac:dyDescent="0.3">
      <c r="A113" t="s">
        <v>677</v>
      </c>
      <c r="B113">
        <v>2.39</v>
      </c>
      <c r="C113">
        <v>8.0399999999999991</v>
      </c>
      <c r="D113">
        <v>12.252284</v>
      </c>
      <c r="E113">
        <v>7.5700000000000003E-2</v>
      </c>
      <c r="F113">
        <v>359</v>
      </c>
      <c r="G113">
        <f>IF(OR(C113="",B113="",B113=0),"",5.51*(C113/(B113^3)))</f>
        <v>3.2449943484135817</v>
      </c>
      <c r="H113">
        <v>3358</v>
      </c>
      <c r="I113">
        <v>1.6473269763053654E-2</v>
      </c>
      <c r="J113">
        <v>0.06</v>
      </c>
      <c r="L113">
        <f>IF(AND(B113&gt;=0.8,B113&lt;=1.5),1,IF(AND(B113&gt;=0.5,B113&lt;=2),0.5,0))</f>
        <v>0</v>
      </c>
      <c r="M113">
        <f>IF(AND(C113&gt;=0.5,C113&lt;=2),1,IF(AND(C113&gt;=0.1,C113&lt;=5),0.5,0))</f>
        <v>0</v>
      </c>
      <c r="N113">
        <f>IF(AND(G113&gt;=4,G113&lt;=7),1,IF(AND(G113&gt;=3,G113&lt;=8),0.5,0))</f>
        <v>0.5</v>
      </c>
      <c r="O113">
        <f>IF(AND(F113&gt;=270,F113&lt;=310),1,IF(AND(F113&gt;=250,F113&lt;=330),0.5,0))</f>
        <v>0</v>
      </c>
      <c r="P113">
        <f>IF(AND(E113&gt;=0.8,E113&lt;=1.5),1,IF(AND(E113&gt;=0.5,E113&lt;=2),0.5,0))</f>
        <v>0</v>
      </c>
      <c r="Q113">
        <f>IF(AND(H113&gt;=5000,H113&lt;=6000),1,IF(AND(H113&gt;=4000,H113&lt;5000),0.5,0))</f>
        <v>0</v>
      </c>
      <c r="R113">
        <f>0.35*AVERAGE(L113:M113:N113)+0.3*O113+0.2*P113+0.15*Q113</f>
        <v>5.8333333333333327E-2</v>
      </c>
      <c r="S113" t="str">
        <f>LEFT(K113,1)</f>
        <v/>
      </c>
      <c r="T113">
        <f>IF(S113="G",1,0)</f>
        <v>0</v>
      </c>
      <c r="U113">
        <f>IF(S113="K",1,0)</f>
        <v>0</v>
      </c>
      <c r="V113">
        <f>IF(S113="M",1,0)</f>
        <v>0</v>
      </c>
      <c r="W113">
        <f>IF(S113="F",1,0)</f>
        <v>0</v>
      </c>
    </row>
    <row r="114" spans="1:23" x14ac:dyDescent="0.3">
      <c r="A114" t="s">
        <v>676</v>
      </c>
      <c r="B114">
        <v>4.72</v>
      </c>
      <c r="C114">
        <v>29.32</v>
      </c>
      <c r="D114">
        <v>0.79205199999999998</v>
      </c>
      <c r="E114">
        <v>1.6789999999999999E-2</v>
      </c>
      <c r="F114">
        <v>1978</v>
      </c>
      <c r="G114">
        <f>IF(OR(C114="",B114="",B114=0),"",5.51*(C114/(B114^3)))</f>
        <v>1.5363478921895617</v>
      </c>
      <c r="H114">
        <v>5443</v>
      </c>
      <c r="I114">
        <v>0.70921124351170728</v>
      </c>
      <c r="J114">
        <v>0.27</v>
      </c>
      <c r="K114" t="s">
        <v>134</v>
      </c>
      <c r="L114">
        <f>IF(AND(B114&gt;=0.8,B114&lt;=1.5),1,IF(AND(B114&gt;=0.5,B114&lt;=2),0.5,0))</f>
        <v>0</v>
      </c>
      <c r="M114">
        <f>IF(AND(C114&gt;=0.5,C114&lt;=2),1,IF(AND(C114&gt;=0.1,C114&lt;=5),0.5,0))</f>
        <v>0</v>
      </c>
      <c r="N114">
        <f>IF(AND(G114&gt;=4,G114&lt;=7),1,IF(AND(G114&gt;=3,G114&lt;=8),0.5,0))</f>
        <v>0</v>
      </c>
      <c r="O114">
        <f>IF(AND(F114&gt;=270,F114&lt;=310),1,IF(AND(F114&gt;=250,F114&lt;=330),0.5,0))</f>
        <v>0</v>
      </c>
      <c r="P114">
        <f>IF(AND(E114&gt;=0.8,E114&lt;=1.5),1,IF(AND(E114&gt;=0.5,E114&lt;=2),0.5,0))</f>
        <v>0</v>
      </c>
      <c r="Q114">
        <f>IF(AND(H114&gt;=5000,H114&lt;=6000),1,IF(AND(H114&gt;=4000,H114&lt;5000),0.5,0))</f>
        <v>1</v>
      </c>
      <c r="R114">
        <f>0.35*AVERAGE(L114:M114:N114)+0.3*O114+0.2*P114+0.15*Q114</f>
        <v>0.15</v>
      </c>
      <c r="S114" t="str">
        <f>LEFT(K114,1)</f>
        <v>G</v>
      </c>
      <c r="T114">
        <f>IF(S114="G",1,0)</f>
        <v>1</v>
      </c>
      <c r="U114">
        <f>IF(S114="K",1,0)</f>
        <v>0</v>
      </c>
      <c r="V114">
        <f>IF(S114="M",1,0)</f>
        <v>0</v>
      </c>
      <c r="W114">
        <f>IF(S114="F",1,0)</f>
        <v>0</v>
      </c>
    </row>
    <row r="115" spans="1:23" x14ac:dyDescent="0.3">
      <c r="A115" t="s">
        <v>675</v>
      </c>
      <c r="B115">
        <v>9.1577529999999996</v>
      </c>
      <c r="C115">
        <v>109.33351999999999</v>
      </c>
      <c r="D115">
        <v>35.455329999999996</v>
      </c>
      <c r="E115">
        <v>0.20100000000000001</v>
      </c>
      <c r="F115">
        <v>435</v>
      </c>
      <c r="G115">
        <f>IF(OR(C115="",B115="",B115=0),"",5.51*(C115/(B115^3)))</f>
        <v>0.78440102451017346</v>
      </c>
      <c r="H115">
        <v>5050</v>
      </c>
      <c r="I115">
        <v>0.40392619177046823</v>
      </c>
      <c r="J115">
        <v>0.22</v>
      </c>
      <c r="K115" t="s">
        <v>20</v>
      </c>
      <c r="L115">
        <f>IF(AND(B115&gt;=0.8,B115&lt;=1.5),1,IF(AND(B115&gt;=0.5,B115&lt;=2),0.5,0))</f>
        <v>0</v>
      </c>
      <c r="M115">
        <f>IF(AND(C115&gt;=0.5,C115&lt;=2),1,IF(AND(C115&gt;=0.1,C115&lt;=5),0.5,0))</f>
        <v>0</v>
      </c>
      <c r="N115">
        <f>IF(AND(G115&gt;=4,G115&lt;=7),1,IF(AND(G115&gt;=3,G115&lt;=8),0.5,0))</f>
        <v>0</v>
      </c>
      <c r="O115">
        <f>IF(AND(F115&gt;=270,F115&lt;=310),1,IF(AND(F115&gt;=250,F115&lt;=330),0.5,0))</f>
        <v>0</v>
      </c>
      <c r="P115">
        <f>IF(AND(E115&gt;=0.8,E115&lt;=1.5),1,IF(AND(E115&gt;=0.5,E115&lt;=2),0.5,0))</f>
        <v>0</v>
      </c>
      <c r="Q115">
        <f>IF(AND(H115&gt;=5000,H115&lt;=6000),1,IF(AND(H115&gt;=4000,H115&lt;5000),0.5,0))</f>
        <v>1</v>
      </c>
      <c r="R115">
        <f>0.35*AVERAGE(L115:M115:N115)+0.3*O115+0.2*P115+0.15*Q115</f>
        <v>0.15</v>
      </c>
      <c r="S115" t="str">
        <f>LEFT(K115,1)</f>
        <v>K</v>
      </c>
      <c r="T115">
        <f>IF(S115="G",1,0)</f>
        <v>0</v>
      </c>
      <c r="U115">
        <f>IF(S115="K",1,0)</f>
        <v>1</v>
      </c>
      <c r="V115">
        <f>IF(S115="M",1,0)</f>
        <v>0</v>
      </c>
      <c r="W115">
        <f>IF(S115="F",1,0)</f>
        <v>0</v>
      </c>
    </row>
    <row r="116" spans="1:23" x14ac:dyDescent="0.3">
      <c r="A116" t="s">
        <v>674</v>
      </c>
      <c r="B116">
        <v>11.99360935</v>
      </c>
      <c r="C116">
        <v>947.12865285999999</v>
      </c>
      <c r="D116">
        <v>54.189149999999998</v>
      </c>
      <c r="E116">
        <v>0.313</v>
      </c>
      <c r="F116">
        <v>688</v>
      </c>
      <c r="G116">
        <f>IF(OR(C116="",B116="",B116=0),"",5.51*(C116/(B116^3)))</f>
        <v>3.0248989891373852</v>
      </c>
      <c r="H116">
        <v>5980</v>
      </c>
      <c r="I116">
        <v>3.6352525732872074</v>
      </c>
      <c r="J116">
        <v>0.15</v>
      </c>
      <c r="K116" t="s">
        <v>673</v>
      </c>
      <c r="L116">
        <f>IF(AND(B116&gt;=0.8,B116&lt;=1.5),1,IF(AND(B116&gt;=0.5,B116&lt;=2),0.5,0))</f>
        <v>0</v>
      </c>
      <c r="M116">
        <f>IF(AND(C116&gt;=0.5,C116&lt;=2),1,IF(AND(C116&gt;=0.1,C116&lt;=5),0.5,0))</f>
        <v>0</v>
      </c>
      <c r="N116">
        <f>IF(AND(G116&gt;=4,G116&lt;=7),1,IF(AND(G116&gt;=3,G116&lt;=8),0.5,0))</f>
        <v>0.5</v>
      </c>
      <c r="O116">
        <f>IF(AND(F116&gt;=270,F116&lt;=310),1,IF(AND(F116&gt;=250,F116&lt;=330),0.5,0))</f>
        <v>0</v>
      </c>
      <c r="P116">
        <f>IF(AND(E116&gt;=0.8,E116&lt;=1.5),1,IF(AND(E116&gt;=0.5,E116&lt;=2),0.5,0))</f>
        <v>0</v>
      </c>
      <c r="Q116">
        <f>IF(AND(H116&gt;=5000,H116&lt;=6000),1,IF(AND(H116&gt;=4000,H116&lt;5000),0.5,0))</f>
        <v>1</v>
      </c>
      <c r="R116">
        <f>0.35*AVERAGE(L116:M116:N116)+0.3*O116+0.2*P116+0.15*Q116</f>
        <v>0.20833333333333331</v>
      </c>
      <c r="S116" t="str">
        <f>LEFT(K116,1)</f>
        <v>G</v>
      </c>
      <c r="T116">
        <f>IF(S116="G",1,0)</f>
        <v>1</v>
      </c>
      <c r="U116">
        <f>IF(S116="K",1,0)</f>
        <v>0</v>
      </c>
      <c r="V116">
        <f>IF(S116="M",1,0)</f>
        <v>0</v>
      </c>
      <c r="W116">
        <f>IF(S116="F",1,0)</f>
        <v>0</v>
      </c>
    </row>
    <row r="117" spans="1:23" x14ac:dyDescent="0.3">
      <c r="A117" t="s">
        <v>672</v>
      </c>
      <c r="B117">
        <v>15.647737060000001</v>
      </c>
      <c r="C117">
        <v>188.47224535000001</v>
      </c>
      <c r="D117">
        <v>3.3704181000000002</v>
      </c>
      <c r="E117">
        <v>4.4600000000000001E-2</v>
      </c>
      <c r="F117">
        <v>1783</v>
      </c>
      <c r="G117">
        <f>IF(OR(C117="",B117="",B117=0),"",5.51*(C117/(B117^3)))</f>
        <v>0.2710468622857784</v>
      </c>
      <c r="H117">
        <v>5700</v>
      </c>
      <c r="I117">
        <v>2.9671247443475974</v>
      </c>
      <c r="J117">
        <v>0</v>
      </c>
      <c r="L117">
        <f>IF(AND(B117&gt;=0.8,B117&lt;=1.5),1,IF(AND(B117&gt;=0.5,B117&lt;=2),0.5,0))</f>
        <v>0</v>
      </c>
      <c r="M117">
        <f>IF(AND(C117&gt;=0.5,C117&lt;=2),1,IF(AND(C117&gt;=0.1,C117&lt;=5),0.5,0))</f>
        <v>0</v>
      </c>
      <c r="N117">
        <f>IF(AND(G117&gt;=4,G117&lt;=7),1,IF(AND(G117&gt;=3,G117&lt;=8),0.5,0))</f>
        <v>0</v>
      </c>
      <c r="O117">
        <f>IF(AND(F117&gt;=270,F117&lt;=310),1,IF(AND(F117&gt;=250,F117&lt;=330),0.5,0))</f>
        <v>0</v>
      </c>
      <c r="P117">
        <f>IF(AND(E117&gt;=0.8,E117&lt;=1.5),1,IF(AND(E117&gt;=0.5,E117&lt;=2),0.5,0))</f>
        <v>0</v>
      </c>
      <c r="Q117">
        <f>IF(AND(H117&gt;=5000,H117&lt;=6000),1,IF(AND(H117&gt;=4000,H117&lt;5000),0.5,0))</f>
        <v>1</v>
      </c>
      <c r="R117">
        <f>0.35*AVERAGE(L117:M117:N117)+0.3*O117+0.2*P117+0.15*Q117</f>
        <v>0.15</v>
      </c>
      <c r="S117" t="str">
        <f>LEFT(K117,1)</f>
        <v/>
      </c>
      <c r="T117">
        <f>IF(S117="G",1,0)</f>
        <v>0</v>
      </c>
      <c r="U117">
        <f>IF(S117="K",1,0)</f>
        <v>0</v>
      </c>
      <c r="V117">
        <f>IF(S117="M",1,0)</f>
        <v>0</v>
      </c>
      <c r="W117">
        <f>IF(S117="F",1,0)</f>
        <v>0</v>
      </c>
    </row>
    <row r="118" spans="1:23" x14ac:dyDescent="0.3">
      <c r="A118" t="s">
        <v>671</v>
      </c>
      <c r="B118">
        <v>10.401934089999999</v>
      </c>
      <c r="C118">
        <v>305.11527072000001</v>
      </c>
      <c r="D118">
        <v>98.298379999999995</v>
      </c>
      <c r="E118">
        <v>0.40799999999999997</v>
      </c>
      <c r="F118">
        <v>500</v>
      </c>
      <c r="G118">
        <f>IF(OR(C118="",B118="",B118=0),"",5.51*(C118/(B118^3)))</f>
        <v>1.493733944235609</v>
      </c>
      <c r="H118">
        <v>5455</v>
      </c>
      <c r="I118">
        <v>0.6622323996286027</v>
      </c>
      <c r="J118">
        <v>-0.03</v>
      </c>
      <c r="L118">
        <f>IF(AND(B118&gt;=0.8,B118&lt;=1.5),1,IF(AND(B118&gt;=0.5,B118&lt;=2),0.5,0))</f>
        <v>0</v>
      </c>
      <c r="M118">
        <f>IF(AND(C118&gt;=0.5,C118&lt;=2),1,IF(AND(C118&gt;=0.1,C118&lt;=5),0.5,0))</f>
        <v>0</v>
      </c>
      <c r="N118">
        <f>IF(AND(G118&gt;=4,G118&lt;=7),1,IF(AND(G118&gt;=3,G118&lt;=8),0.5,0))</f>
        <v>0</v>
      </c>
      <c r="O118">
        <f>IF(AND(F118&gt;=270,F118&lt;=310),1,IF(AND(F118&gt;=250,F118&lt;=330),0.5,0))</f>
        <v>0</v>
      </c>
      <c r="P118">
        <f>IF(AND(E118&gt;=0.8,E118&lt;=1.5),1,IF(AND(E118&gt;=0.5,E118&lt;=2),0.5,0))</f>
        <v>0</v>
      </c>
      <c r="Q118">
        <f>IF(AND(H118&gt;=5000,H118&lt;=6000),1,IF(AND(H118&gt;=4000,H118&lt;5000),0.5,0))</f>
        <v>1</v>
      </c>
      <c r="R118">
        <f>0.35*AVERAGE(L118:M118:N118)+0.3*O118+0.2*P118+0.15*Q118</f>
        <v>0.15</v>
      </c>
      <c r="S118" t="str">
        <f>LEFT(K118,1)</f>
        <v/>
      </c>
      <c r="T118">
        <f>IF(S118="G",1,0)</f>
        <v>0</v>
      </c>
      <c r="U118">
        <f>IF(S118="K",1,0)</f>
        <v>0</v>
      </c>
      <c r="V118">
        <f>IF(S118="M",1,0)</f>
        <v>0</v>
      </c>
      <c r="W118">
        <f>IF(S118="F",1,0)</f>
        <v>0</v>
      </c>
    </row>
    <row r="119" spans="1:23" x14ac:dyDescent="0.3">
      <c r="A119" t="s">
        <v>670</v>
      </c>
      <c r="B119">
        <v>18.04645893</v>
      </c>
      <c r="C119">
        <v>355.96781584000001</v>
      </c>
      <c r="D119">
        <v>4.1627340000000004</v>
      </c>
      <c r="E119">
        <v>6.4000000000000001E-2</v>
      </c>
      <c r="F119">
        <v>1410</v>
      </c>
      <c r="G119">
        <f>IF(OR(C119="",B119="",B119=0),"",5.51*(C119/(B119^3)))</f>
        <v>0.33372315461209717</v>
      </c>
      <c r="H119">
        <v>5710</v>
      </c>
      <c r="I119">
        <v>2.7563357990066923</v>
      </c>
      <c r="J119">
        <v>0</v>
      </c>
      <c r="L119">
        <f>IF(AND(B119&gt;=0.8,B119&lt;=1.5),1,IF(AND(B119&gt;=0.5,B119&lt;=2),0.5,0))</f>
        <v>0</v>
      </c>
      <c r="M119">
        <f>IF(AND(C119&gt;=0.5,C119&lt;=2),1,IF(AND(C119&gt;=0.1,C119&lt;=5),0.5,0))</f>
        <v>0</v>
      </c>
      <c r="N119">
        <f>IF(AND(G119&gt;=4,G119&lt;=7),1,IF(AND(G119&gt;=3,G119&lt;=8),0.5,0))</f>
        <v>0</v>
      </c>
      <c r="O119">
        <f>IF(AND(F119&gt;=270,F119&lt;=310),1,IF(AND(F119&gt;=250,F119&lt;=330),0.5,0))</f>
        <v>0</v>
      </c>
      <c r="P119">
        <f>IF(AND(E119&gt;=0.8,E119&lt;=1.5),1,IF(AND(E119&gt;=0.5,E119&lt;=2),0.5,0))</f>
        <v>0</v>
      </c>
      <c r="Q119">
        <f>IF(AND(H119&gt;=5000,H119&lt;=6000),1,IF(AND(H119&gt;=4000,H119&lt;5000),0.5,0))</f>
        <v>1</v>
      </c>
      <c r="R119">
        <f>0.35*AVERAGE(L119:M119:N119)+0.3*O119+0.2*P119+0.15*Q119</f>
        <v>0.15</v>
      </c>
      <c r="S119" t="str">
        <f>LEFT(K119,1)</f>
        <v/>
      </c>
      <c r="T119">
        <f>IF(S119="G",1,0)</f>
        <v>0</v>
      </c>
      <c r="U119">
        <f>IF(S119="K",1,0)</f>
        <v>0</v>
      </c>
      <c r="V119">
        <f>IF(S119="M",1,0)</f>
        <v>0</v>
      </c>
      <c r="W119">
        <f>IF(S119="F",1,0)</f>
        <v>0</v>
      </c>
    </row>
    <row r="120" spans="1:23" x14ac:dyDescent="0.3">
      <c r="A120" t="s">
        <v>669</v>
      </c>
      <c r="B120">
        <v>18.382728350000001</v>
      </c>
      <c r="C120">
        <v>1153.7171174099999</v>
      </c>
      <c r="D120">
        <v>2.8279719999999999</v>
      </c>
      <c r="E120">
        <v>4.8000000000000001E-2</v>
      </c>
      <c r="F120">
        <v>1991</v>
      </c>
      <c r="G120">
        <f>IF(OR(C120="",B120="",B120=0),"",5.51*(C120/(B120^3)))</f>
        <v>1.0233425367945765</v>
      </c>
      <c r="H120">
        <v>7437</v>
      </c>
      <c r="I120">
        <v>5.9308323177765994</v>
      </c>
      <c r="J120">
        <v>-0.11</v>
      </c>
      <c r="L120">
        <f>IF(AND(B120&gt;=0.8,B120&lt;=1.5),1,IF(AND(B120&gt;=0.5,B120&lt;=2),0.5,0))</f>
        <v>0</v>
      </c>
      <c r="M120">
        <f>IF(AND(C120&gt;=0.5,C120&lt;=2),1,IF(AND(C120&gt;=0.1,C120&lt;=5),0.5,0))</f>
        <v>0</v>
      </c>
      <c r="N120">
        <f>IF(AND(G120&gt;=4,G120&lt;=7),1,IF(AND(G120&gt;=3,G120&lt;=8),0.5,0))</f>
        <v>0</v>
      </c>
      <c r="O120">
        <f>IF(AND(F120&gt;=270,F120&lt;=310),1,IF(AND(F120&gt;=250,F120&lt;=330),0.5,0))</f>
        <v>0</v>
      </c>
      <c r="P120">
        <f>IF(AND(E120&gt;=0.8,E120&lt;=1.5),1,IF(AND(E120&gt;=0.5,E120&lt;=2),0.5,0))</f>
        <v>0</v>
      </c>
      <c r="Q120">
        <f>IF(AND(H120&gt;=5000,H120&lt;=6000),1,IF(AND(H120&gt;=4000,H120&lt;5000),0.5,0))</f>
        <v>0</v>
      </c>
      <c r="R120">
        <f>0.35*AVERAGE(L120:M120:N120)+0.3*O120+0.2*P120+0.15*Q120</f>
        <v>0</v>
      </c>
      <c r="S120" t="str">
        <f>LEFT(K120,1)</f>
        <v/>
      </c>
      <c r="T120">
        <f>IF(S120="G",1,0)</f>
        <v>0</v>
      </c>
      <c r="U120">
        <f>IF(S120="K",1,0)</f>
        <v>0</v>
      </c>
      <c r="V120">
        <f>IF(S120="M",1,0)</f>
        <v>0</v>
      </c>
      <c r="W120">
        <f>IF(S120="F",1,0)</f>
        <v>0</v>
      </c>
    </row>
    <row r="121" spans="1:23" x14ac:dyDescent="0.3">
      <c r="A121" t="s">
        <v>668</v>
      </c>
      <c r="B121">
        <v>1.84</v>
      </c>
      <c r="C121">
        <v>4.57</v>
      </c>
      <c r="D121">
        <v>5.0066338000000004</v>
      </c>
      <c r="E121">
        <v>4.6399999999999997E-2</v>
      </c>
      <c r="F121">
        <v>682</v>
      </c>
      <c r="G121">
        <f>IF(OR(C121="",B121="",B121=0),"",5.51*(C121/(B121^3)))</f>
        <v>4.042167723144571</v>
      </c>
      <c r="H121">
        <v>4041</v>
      </c>
      <c r="I121">
        <v>7.7458625205109238E-2</v>
      </c>
      <c r="J121">
        <v>-0.19</v>
      </c>
      <c r="K121" t="s">
        <v>651</v>
      </c>
      <c r="L121">
        <f>IF(AND(B121&gt;=0.8,B121&lt;=1.5),1,IF(AND(B121&gt;=0.5,B121&lt;=2),0.5,0))</f>
        <v>0.5</v>
      </c>
      <c r="M121">
        <f>IF(AND(C121&gt;=0.5,C121&lt;=2),1,IF(AND(C121&gt;=0.1,C121&lt;=5),0.5,0))</f>
        <v>0.5</v>
      </c>
      <c r="N121">
        <f>IF(AND(G121&gt;=4,G121&lt;=7),1,IF(AND(G121&gt;=3,G121&lt;=8),0.5,0))</f>
        <v>1</v>
      </c>
      <c r="O121">
        <f>IF(AND(F121&gt;=270,F121&lt;=310),1,IF(AND(F121&gt;=250,F121&lt;=330),0.5,0))</f>
        <v>0</v>
      </c>
      <c r="P121">
        <f>IF(AND(E121&gt;=0.8,E121&lt;=1.5),1,IF(AND(E121&gt;=0.5,E121&lt;=2),0.5,0))</f>
        <v>0</v>
      </c>
      <c r="Q121">
        <f>IF(AND(H121&gt;=5000,H121&lt;=6000),1,IF(AND(H121&gt;=4000,H121&lt;5000),0.5,0))</f>
        <v>0.5</v>
      </c>
      <c r="R121">
        <f>0.35*AVERAGE(L121:M121:N121)+0.3*O121+0.2*P121+0.15*Q121</f>
        <v>0.30833333333333329</v>
      </c>
      <c r="S121" t="str">
        <f>LEFT(K121,1)</f>
        <v>K</v>
      </c>
      <c r="T121">
        <f>IF(S121="G",1,0)</f>
        <v>0</v>
      </c>
      <c r="U121">
        <f>IF(S121="K",1,0)</f>
        <v>1</v>
      </c>
      <c r="V121">
        <f>IF(S121="M",1,0)</f>
        <v>0</v>
      </c>
      <c r="W121">
        <f>IF(S121="F",1,0)</f>
        <v>0</v>
      </c>
    </row>
    <row r="122" spans="1:23" x14ac:dyDescent="0.3">
      <c r="A122" t="s">
        <v>667</v>
      </c>
      <c r="B122">
        <v>7.22979255</v>
      </c>
      <c r="C122">
        <v>147.15455244</v>
      </c>
      <c r="D122">
        <v>23.623999999999999</v>
      </c>
      <c r="E122">
        <v>0.16300000000000001</v>
      </c>
      <c r="F122">
        <v>703</v>
      </c>
      <c r="G122">
        <f>IF(OR(C122="",B122="",B122=0),"",5.51*(C122/(B122^3)))</f>
        <v>2.1455952213086671</v>
      </c>
      <c r="H122">
        <v>5844</v>
      </c>
      <c r="I122">
        <v>1.0802346280009767</v>
      </c>
      <c r="J122">
        <v>0.156</v>
      </c>
      <c r="K122" t="s">
        <v>666</v>
      </c>
      <c r="L122">
        <f>IF(AND(B122&gt;=0.8,B122&lt;=1.5),1,IF(AND(B122&gt;=0.5,B122&lt;=2),0.5,0))</f>
        <v>0</v>
      </c>
      <c r="M122">
        <f>IF(AND(C122&gt;=0.5,C122&lt;=2),1,IF(AND(C122&gt;=0.1,C122&lt;=5),0.5,0))</f>
        <v>0</v>
      </c>
      <c r="N122">
        <f>IF(AND(G122&gt;=4,G122&lt;=7),1,IF(AND(G122&gt;=3,G122&lt;=8),0.5,0))</f>
        <v>0</v>
      </c>
      <c r="O122">
        <f>IF(AND(F122&gt;=270,F122&lt;=310),1,IF(AND(F122&gt;=250,F122&lt;=330),0.5,0))</f>
        <v>0</v>
      </c>
      <c r="P122">
        <f>IF(AND(E122&gt;=0.8,E122&lt;=1.5),1,IF(AND(E122&gt;=0.5,E122&lt;=2),0.5,0))</f>
        <v>0</v>
      </c>
      <c r="Q122">
        <f>IF(AND(H122&gt;=5000,H122&lt;=6000),1,IF(AND(H122&gt;=4000,H122&lt;5000),0.5,0))</f>
        <v>1</v>
      </c>
      <c r="R122">
        <f>0.35*AVERAGE(L122:M122:N122)+0.3*O122+0.2*P122+0.15*Q122</f>
        <v>0.15</v>
      </c>
      <c r="S122" t="str">
        <f>LEFT(K122,1)</f>
        <v>G</v>
      </c>
      <c r="T122">
        <f>IF(S122="G",1,0)</f>
        <v>1</v>
      </c>
      <c r="U122">
        <f>IF(S122="K",1,0)</f>
        <v>0</v>
      </c>
      <c r="V122">
        <f>IF(S122="M",1,0)</f>
        <v>0</v>
      </c>
      <c r="W122">
        <f>IF(S122="F",1,0)</f>
        <v>0</v>
      </c>
    </row>
    <row r="123" spans="1:23" x14ac:dyDescent="0.3">
      <c r="A123" t="s">
        <v>665</v>
      </c>
      <c r="B123">
        <v>11.25</v>
      </c>
      <c r="C123">
        <v>942</v>
      </c>
      <c r="D123">
        <v>200.452</v>
      </c>
      <c r="E123">
        <v>0.90281</v>
      </c>
      <c r="G123">
        <f>IF(OR(C123="",B123="",B123=0),"",5.51*(C123/(B123^3)))</f>
        <v>3.6453978600823045</v>
      </c>
      <c r="H123">
        <v>6050</v>
      </c>
      <c r="I123">
        <v>2.3030800767194677</v>
      </c>
      <c r="J123">
        <v>0.34</v>
      </c>
      <c r="K123" t="s">
        <v>664</v>
      </c>
      <c r="L123">
        <f>IF(AND(B123&gt;=0.8,B123&lt;=1.5),1,IF(AND(B123&gt;=0.5,B123&lt;=2),0.5,0))</f>
        <v>0</v>
      </c>
      <c r="M123">
        <f>IF(AND(C123&gt;=0.5,C123&lt;=2),1,IF(AND(C123&gt;=0.1,C123&lt;=5),0.5,0))</f>
        <v>0</v>
      </c>
      <c r="N123">
        <f>IF(AND(G123&gt;=4,G123&lt;=7),1,IF(AND(G123&gt;=3,G123&lt;=8),0.5,0))</f>
        <v>0.5</v>
      </c>
      <c r="O123">
        <f>IF(AND(F123&gt;=270,F123&lt;=310),1,IF(AND(F123&gt;=250,F123&lt;=330),0.5,0))</f>
        <v>0</v>
      </c>
      <c r="P123">
        <f>IF(AND(E123&gt;=0.8,E123&lt;=1.5),1,IF(AND(E123&gt;=0.5,E123&lt;=2),0.5,0))</f>
        <v>1</v>
      </c>
      <c r="Q123">
        <f>IF(AND(H123&gt;=5000,H123&lt;=6000),1,IF(AND(H123&gt;=4000,H123&lt;5000),0.5,0))</f>
        <v>0</v>
      </c>
      <c r="R123">
        <f>0.35*AVERAGE(L123:M123:N123)+0.3*O123+0.2*P123+0.15*Q123</f>
        <v>0.25833333333333336</v>
      </c>
      <c r="S123" t="str">
        <f>LEFT(K123,1)</f>
        <v>F</v>
      </c>
      <c r="T123">
        <f>IF(S123="G",1,0)</f>
        <v>0</v>
      </c>
      <c r="U123">
        <f>IF(S123="K",1,0)</f>
        <v>0</v>
      </c>
      <c r="V123">
        <f>IF(S123="M",1,0)</f>
        <v>0</v>
      </c>
      <c r="W123">
        <f>IF(S123="F",1,0)</f>
        <v>1</v>
      </c>
    </row>
    <row r="124" spans="1:23" x14ac:dyDescent="0.3">
      <c r="A124" t="s">
        <v>663</v>
      </c>
      <c r="B124">
        <v>12.520453</v>
      </c>
      <c r="C124">
        <v>617.22586000000001</v>
      </c>
      <c r="D124">
        <v>15.168865</v>
      </c>
      <c r="E124">
        <v>0.1207</v>
      </c>
      <c r="F124">
        <v>974</v>
      </c>
      <c r="G124">
        <f>IF(OR(C124="",B124="",B124=0),"",5.51*(C124/(B124^3)))</f>
        <v>1.7327487151322543</v>
      </c>
      <c r="H124">
        <v>5788</v>
      </c>
      <c r="I124">
        <v>1.1919601343757968</v>
      </c>
      <c r="J124">
        <v>0.14000000000000001</v>
      </c>
      <c r="K124" t="s">
        <v>53</v>
      </c>
      <c r="L124">
        <f>IF(AND(B124&gt;=0.8,B124&lt;=1.5),1,IF(AND(B124&gt;=0.5,B124&lt;=2),0.5,0))</f>
        <v>0</v>
      </c>
      <c r="M124">
        <f>IF(AND(C124&gt;=0.5,C124&lt;=2),1,IF(AND(C124&gt;=0.1,C124&lt;=5),0.5,0))</f>
        <v>0</v>
      </c>
      <c r="N124">
        <f>IF(AND(G124&gt;=4,G124&lt;=7),1,IF(AND(G124&gt;=3,G124&lt;=8),0.5,0))</f>
        <v>0</v>
      </c>
      <c r="O124">
        <f>IF(AND(F124&gt;=270,F124&lt;=310),1,IF(AND(F124&gt;=250,F124&lt;=330),0.5,0))</f>
        <v>0</v>
      </c>
      <c r="P124">
        <f>IF(AND(E124&gt;=0.8,E124&lt;=1.5),1,IF(AND(E124&gt;=0.5,E124&lt;=2),0.5,0))</f>
        <v>0</v>
      </c>
      <c r="Q124">
        <f>IF(AND(H124&gt;=5000,H124&lt;=6000),1,IF(AND(H124&gt;=4000,H124&lt;5000),0.5,0))</f>
        <v>1</v>
      </c>
      <c r="R124">
        <f>0.35*AVERAGE(L124:M124:N124)+0.3*O124+0.2*P124+0.15*Q124</f>
        <v>0.15</v>
      </c>
      <c r="S124" t="str">
        <f>LEFT(K124,1)</f>
        <v>G</v>
      </c>
      <c r="T124">
        <f>IF(S124="G",1,0)</f>
        <v>1</v>
      </c>
      <c r="U124">
        <f>IF(S124="K",1,0)</f>
        <v>0</v>
      </c>
      <c r="V124">
        <f>IF(S124="M",1,0)</f>
        <v>0</v>
      </c>
      <c r="W124">
        <f>IF(S124="F",1,0)</f>
        <v>0</v>
      </c>
    </row>
    <row r="125" spans="1:23" x14ac:dyDescent="0.3">
      <c r="A125" t="s">
        <v>662</v>
      </c>
      <c r="B125">
        <v>13.29385111</v>
      </c>
      <c r="C125">
        <v>1582.78546686</v>
      </c>
      <c r="D125">
        <v>165.77189999999999</v>
      </c>
      <c r="E125">
        <v>0.64100000000000001</v>
      </c>
      <c r="G125">
        <f>IF(OR(C125="",B125="",B125=0),"",5.51*(C125/(B125^3)))</f>
        <v>3.7121132863634778</v>
      </c>
      <c r="H125">
        <v>6166</v>
      </c>
      <c r="I125">
        <v>2.5310268000563516</v>
      </c>
      <c r="J125">
        <v>0.09</v>
      </c>
      <c r="L125">
        <f>IF(AND(B125&gt;=0.8,B125&lt;=1.5),1,IF(AND(B125&gt;=0.5,B125&lt;=2),0.5,0))</f>
        <v>0</v>
      </c>
      <c r="M125">
        <f>IF(AND(C125&gt;=0.5,C125&lt;=2),1,IF(AND(C125&gt;=0.1,C125&lt;=5),0.5,0))</f>
        <v>0</v>
      </c>
      <c r="N125">
        <f>IF(AND(G125&gt;=4,G125&lt;=7),1,IF(AND(G125&gt;=3,G125&lt;=8),0.5,0))</f>
        <v>0.5</v>
      </c>
      <c r="O125">
        <f>IF(AND(F125&gt;=270,F125&lt;=310),1,IF(AND(F125&gt;=250,F125&lt;=330),0.5,0))</f>
        <v>0</v>
      </c>
      <c r="P125">
        <f>IF(AND(E125&gt;=0.8,E125&lt;=1.5),1,IF(AND(E125&gt;=0.5,E125&lt;=2),0.5,0))</f>
        <v>0.5</v>
      </c>
      <c r="Q125">
        <f>IF(AND(H125&gt;=5000,H125&lt;=6000),1,IF(AND(H125&gt;=4000,H125&lt;5000),0.5,0))</f>
        <v>0</v>
      </c>
      <c r="R125">
        <f>0.35*AVERAGE(L125:M125:N125)+0.3*O125+0.2*P125+0.15*Q125</f>
        <v>0.15833333333333333</v>
      </c>
      <c r="S125" t="str">
        <f>LEFT(K125,1)</f>
        <v/>
      </c>
      <c r="T125">
        <f>IF(S125="G",1,0)</f>
        <v>0</v>
      </c>
      <c r="U125">
        <f>IF(S125="K",1,0)</f>
        <v>0</v>
      </c>
      <c r="V125">
        <f>IF(S125="M",1,0)</f>
        <v>0</v>
      </c>
      <c r="W125">
        <f>IF(S125="F",1,0)</f>
        <v>0</v>
      </c>
    </row>
    <row r="126" spans="1:23" x14ac:dyDescent="0.3">
      <c r="A126" t="s">
        <v>661</v>
      </c>
      <c r="B126">
        <v>17.261830280000002</v>
      </c>
      <c r="C126">
        <v>201.50321004</v>
      </c>
      <c r="D126">
        <v>3.6600363900000001</v>
      </c>
      <c r="E126">
        <v>4.922E-2</v>
      </c>
      <c r="F126">
        <v>1775</v>
      </c>
      <c r="G126">
        <f>IF(OR(C126="",B126="",B126=0),"",5.51*(C126/(B126^3)))</f>
        <v>0.21586043160917595</v>
      </c>
      <c r="H126">
        <v>5993</v>
      </c>
      <c r="I126">
        <v>4.0169152646478574</v>
      </c>
      <c r="J126">
        <v>5.3999999999999999E-2</v>
      </c>
      <c r="K126" t="s">
        <v>18</v>
      </c>
      <c r="L126">
        <f>IF(AND(B126&gt;=0.8,B126&lt;=1.5),1,IF(AND(B126&gt;=0.5,B126&lt;=2),0.5,0))</f>
        <v>0</v>
      </c>
      <c r="M126">
        <f>IF(AND(C126&gt;=0.5,C126&lt;=2),1,IF(AND(C126&gt;=0.1,C126&lt;=5),0.5,0))</f>
        <v>0</v>
      </c>
      <c r="N126">
        <f>IF(AND(G126&gt;=4,G126&lt;=7),1,IF(AND(G126&gt;=3,G126&lt;=8),0.5,0))</f>
        <v>0</v>
      </c>
      <c r="O126">
        <f>IF(AND(F126&gt;=270,F126&lt;=310),1,IF(AND(F126&gt;=250,F126&lt;=330),0.5,0))</f>
        <v>0</v>
      </c>
      <c r="P126">
        <f>IF(AND(E126&gt;=0.8,E126&lt;=1.5),1,IF(AND(E126&gt;=0.5,E126&lt;=2),0.5,0))</f>
        <v>0</v>
      </c>
      <c r="Q126">
        <f>IF(AND(H126&gt;=5000,H126&lt;=6000),1,IF(AND(H126&gt;=4000,H126&lt;5000),0.5,0))</f>
        <v>1</v>
      </c>
      <c r="R126">
        <f>0.35*AVERAGE(L126:M126:N126)+0.3*O126+0.2*P126+0.15*Q126</f>
        <v>0.15</v>
      </c>
      <c r="S126" t="str">
        <f>LEFT(K126,1)</f>
        <v>F</v>
      </c>
      <c r="T126">
        <f>IF(S126="G",1,0)</f>
        <v>0</v>
      </c>
      <c r="U126">
        <f>IF(S126="K",1,0)</f>
        <v>0</v>
      </c>
      <c r="V126">
        <f>IF(S126="M",1,0)</f>
        <v>0</v>
      </c>
      <c r="W126">
        <f>IF(S126="F",1,0)</f>
        <v>1</v>
      </c>
    </row>
    <row r="127" spans="1:23" x14ac:dyDescent="0.3">
      <c r="A127" t="s">
        <v>660</v>
      </c>
      <c r="B127">
        <v>11.2089807</v>
      </c>
      <c r="C127">
        <v>1951.4664189800001</v>
      </c>
      <c r="D127">
        <v>76.8</v>
      </c>
      <c r="E127">
        <v>0.36899999999999999</v>
      </c>
      <c r="G127">
        <f>IF(OR(C127="",B127="",B127=0),"",5.51*(C127/(B127^3)))</f>
        <v>7.6350927470869578</v>
      </c>
      <c r="H127">
        <v>5951</v>
      </c>
      <c r="I127">
        <v>1.2643327323755946</v>
      </c>
      <c r="J127">
        <v>0.2</v>
      </c>
      <c r="L127">
        <f>IF(AND(B127&gt;=0.8,B127&lt;=1.5),1,IF(AND(B127&gt;=0.5,B127&lt;=2),0.5,0))</f>
        <v>0</v>
      </c>
      <c r="M127">
        <f>IF(AND(C127&gt;=0.5,C127&lt;=2),1,IF(AND(C127&gt;=0.1,C127&lt;=5),0.5,0))</f>
        <v>0</v>
      </c>
      <c r="N127">
        <f>IF(AND(G127&gt;=4,G127&lt;=7),1,IF(AND(G127&gt;=3,G127&lt;=8),0.5,0))</f>
        <v>0.5</v>
      </c>
      <c r="O127">
        <f>IF(AND(F127&gt;=270,F127&lt;=310),1,IF(AND(F127&gt;=250,F127&lt;=330),0.5,0))</f>
        <v>0</v>
      </c>
      <c r="P127">
        <f>IF(AND(E127&gt;=0.8,E127&lt;=1.5),1,IF(AND(E127&gt;=0.5,E127&lt;=2),0.5,0))</f>
        <v>0</v>
      </c>
      <c r="Q127">
        <f>IF(AND(H127&gt;=5000,H127&lt;=6000),1,IF(AND(H127&gt;=4000,H127&lt;5000),0.5,0))</f>
        <v>1</v>
      </c>
      <c r="R127">
        <f>0.35*AVERAGE(L127:M127:N127)+0.3*O127+0.2*P127+0.15*Q127</f>
        <v>0.20833333333333331</v>
      </c>
      <c r="S127" t="str">
        <f>LEFT(K127,1)</f>
        <v/>
      </c>
      <c r="T127">
        <f>IF(S127="G",1,0)</f>
        <v>0</v>
      </c>
      <c r="U127">
        <f>IF(S127="K",1,0)</f>
        <v>0</v>
      </c>
      <c r="V127">
        <f>IF(S127="M",1,0)</f>
        <v>0</v>
      </c>
      <c r="W127">
        <f>IF(S127="F",1,0)</f>
        <v>0</v>
      </c>
    </row>
    <row r="128" spans="1:23" x14ac:dyDescent="0.3">
      <c r="A128" t="s">
        <v>659</v>
      </c>
      <c r="B128">
        <v>6.21</v>
      </c>
      <c r="C128">
        <v>19.2</v>
      </c>
      <c r="D128">
        <v>4.2128536700000003</v>
      </c>
      <c r="E128">
        <v>6.2199999999999998E-2</v>
      </c>
      <c r="G128">
        <f>IF(OR(C128="",B128="",B128=0),"",5.51*(C128/(B128^3)))</f>
        <v>0.44175149406496028</v>
      </c>
      <c r="H128">
        <v>4900</v>
      </c>
      <c r="I128">
        <v>5.0671393185761033</v>
      </c>
      <c r="J128">
        <v>0.09</v>
      </c>
      <c r="L128">
        <f>IF(AND(B128&gt;=0.8,B128&lt;=1.5),1,IF(AND(B128&gt;=0.5,B128&lt;=2),0.5,0))</f>
        <v>0</v>
      </c>
      <c r="M128">
        <f>IF(AND(C128&gt;=0.5,C128&lt;=2),1,IF(AND(C128&gt;=0.1,C128&lt;=5),0.5,0))</f>
        <v>0</v>
      </c>
      <c r="N128">
        <f>IF(AND(G128&gt;=4,G128&lt;=7),1,IF(AND(G128&gt;=3,G128&lt;=8),0.5,0))</f>
        <v>0</v>
      </c>
      <c r="O128">
        <f>IF(AND(F128&gt;=270,F128&lt;=310),1,IF(AND(F128&gt;=250,F128&lt;=330),0.5,0))</f>
        <v>0</v>
      </c>
      <c r="P128">
        <f>IF(AND(E128&gt;=0.8,E128&lt;=1.5),1,IF(AND(E128&gt;=0.5,E128&lt;=2),0.5,0))</f>
        <v>0</v>
      </c>
      <c r="Q128">
        <f>IF(AND(H128&gt;=5000,H128&lt;=6000),1,IF(AND(H128&gt;=4000,H128&lt;5000),0.5,0))</f>
        <v>0.5</v>
      </c>
      <c r="R128">
        <f>0.35*AVERAGE(L128:M128:N128)+0.3*O128+0.2*P128+0.15*Q128</f>
        <v>7.4999999999999997E-2</v>
      </c>
      <c r="S128" t="str">
        <f>LEFT(K128,1)</f>
        <v/>
      </c>
      <c r="T128">
        <f>IF(S128="G",1,0)</f>
        <v>0</v>
      </c>
      <c r="U128">
        <f>IF(S128="K",1,0)</f>
        <v>0</v>
      </c>
      <c r="V128">
        <f>IF(S128="M",1,0)</f>
        <v>0</v>
      </c>
      <c r="W128">
        <f>IF(S128="F",1,0)</f>
        <v>0</v>
      </c>
    </row>
    <row r="129" spans="1:23" x14ac:dyDescent="0.3">
      <c r="A129" t="s">
        <v>658</v>
      </c>
      <c r="B129">
        <v>12.18416202</v>
      </c>
      <c r="C129">
        <v>1379.37528638</v>
      </c>
      <c r="D129">
        <v>16.249210000000001</v>
      </c>
      <c r="E129">
        <v>0.12909999999999999</v>
      </c>
      <c r="F129">
        <v>805.5</v>
      </c>
      <c r="G129">
        <f>IF(OR(C129="",B129="",B129=0),"",5.51*(C129/(B129^3)))</f>
        <v>4.2019128747558261</v>
      </c>
      <c r="H129">
        <v>5756</v>
      </c>
      <c r="I129">
        <v>1.1615359114863146</v>
      </c>
      <c r="J129">
        <v>0.318</v>
      </c>
      <c r="L129">
        <f>IF(AND(B129&gt;=0.8,B129&lt;=1.5),1,IF(AND(B129&gt;=0.5,B129&lt;=2),0.5,0))</f>
        <v>0</v>
      </c>
      <c r="M129">
        <f>IF(AND(C129&gt;=0.5,C129&lt;=2),1,IF(AND(C129&gt;=0.1,C129&lt;=5),0.5,0))</f>
        <v>0</v>
      </c>
      <c r="N129">
        <f>IF(AND(G129&gt;=4,G129&lt;=7),1,IF(AND(G129&gt;=3,G129&lt;=8),0.5,0))</f>
        <v>1</v>
      </c>
      <c r="O129">
        <f>IF(AND(F129&gt;=270,F129&lt;=310),1,IF(AND(F129&gt;=250,F129&lt;=330),0.5,0))</f>
        <v>0</v>
      </c>
      <c r="P129">
        <f>IF(AND(E129&gt;=0.8,E129&lt;=1.5),1,IF(AND(E129&gt;=0.5,E129&lt;=2),0.5,0))</f>
        <v>0</v>
      </c>
      <c r="Q129">
        <f>IF(AND(H129&gt;=5000,H129&lt;=6000),1,IF(AND(H129&gt;=4000,H129&lt;5000),0.5,0))</f>
        <v>1</v>
      </c>
      <c r="R129">
        <f>0.35*AVERAGE(L129:M129:N129)+0.3*O129+0.2*P129+0.15*Q129</f>
        <v>0.26666666666666666</v>
      </c>
      <c r="S129" t="str">
        <f>LEFT(K129,1)</f>
        <v/>
      </c>
      <c r="T129">
        <f>IF(S129="G",1,0)</f>
        <v>0</v>
      </c>
      <c r="U129">
        <f>IF(S129="K",1,0)</f>
        <v>0</v>
      </c>
      <c r="V129">
        <f>IF(S129="M",1,0)</f>
        <v>0</v>
      </c>
      <c r="W129">
        <f>IF(S129="F",1,0)</f>
        <v>0</v>
      </c>
    </row>
    <row r="130" spans="1:23" x14ac:dyDescent="0.3">
      <c r="A130" t="s">
        <v>657</v>
      </c>
      <c r="B130">
        <v>3.51</v>
      </c>
      <c r="D130">
        <v>3.6855039999999999</v>
      </c>
      <c r="E130">
        <v>4.641E-2</v>
      </c>
      <c r="F130">
        <v>1250</v>
      </c>
      <c r="G130" t="str">
        <f>IF(OR(C130="",B130="",B130=0),"",5.51*(C130/(B130^3)))</f>
        <v/>
      </c>
      <c r="H130">
        <v>5638</v>
      </c>
      <c r="I130">
        <v>0.74906223583238929</v>
      </c>
      <c r="J130">
        <v>-8.1000000000000003E-2</v>
      </c>
      <c r="K130" t="s">
        <v>655</v>
      </c>
      <c r="L130">
        <f>IF(AND(B130&gt;=0.8,B130&lt;=1.5),1,IF(AND(B130&gt;=0.5,B130&lt;=2),0.5,0))</f>
        <v>0</v>
      </c>
      <c r="M130">
        <f>IF(AND(C130&gt;=0.5,C130&lt;=2),1,IF(AND(C130&gt;=0.1,C130&lt;=5),0.5,0))</f>
        <v>0</v>
      </c>
      <c r="N130">
        <f>IF(AND(G130&gt;=4,G130&lt;=7),1,IF(AND(G130&gt;=3,G130&lt;=8),0.5,0))</f>
        <v>0</v>
      </c>
      <c r="O130">
        <f>IF(AND(F130&gt;=270,F130&lt;=310),1,IF(AND(F130&gt;=250,F130&lt;=330),0.5,0))</f>
        <v>0</v>
      </c>
      <c r="P130">
        <f>IF(AND(E130&gt;=0.8,E130&lt;=1.5),1,IF(AND(E130&gt;=0.5,E130&lt;=2),0.5,0))</f>
        <v>0</v>
      </c>
      <c r="Q130">
        <f>IF(AND(H130&gt;=5000,H130&lt;=6000),1,IF(AND(H130&gt;=4000,H130&lt;5000),0.5,0))</f>
        <v>1</v>
      </c>
      <c r="R130">
        <f>0.35*AVERAGE(L130:M130:N130)+0.3*O130+0.2*P130+0.15*Q130</f>
        <v>0.15</v>
      </c>
      <c r="S130" t="str">
        <f>LEFT(K130,1)</f>
        <v>G</v>
      </c>
      <c r="T130">
        <f>IF(S130="G",1,0)</f>
        <v>1</v>
      </c>
      <c r="U130">
        <f>IF(S130="K",1,0)</f>
        <v>0</v>
      </c>
      <c r="V130">
        <f>IF(S130="M",1,0)</f>
        <v>0</v>
      </c>
      <c r="W130">
        <f>IF(S130="F",1,0)</f>
        <v>0</v>
      </c>
    </row>
    <row r="131" spans="1:23" x14ac:dyDescent="0.3">
      <c r="A131" t="s">
        <v>656</v>
      </c>
      <c r="B131">
        <v>5.63</v>
      </c>
      <c r="D131">
        <v>6.2102909999999998</v>
      </c>
      <c r="E131">
        <v>6.5720000000000001E-2</v>
      </c>
      <c r="F131">
        <v>1050</v>
      </c>
      <c r="G131" t="str">
        <f>IF(OR(C131="",B131="",B131=0),"",5.51*(C131/(B131^3)))</f>
        <v/>
      </c>
      <c r="H131">
        <v>5638</v>
      </c>
      <c r="I131">
        <v>0.74906223583238929</v>
      </c>
      <c r="J131">
        <v>-8.1000000000000003E-2</v>
      </c>
      <c r="K131" t="s">
        <v>655</v>
      </c>
      <c r="L131">
        <f>IF(AND(B131&gt;=0.8,B131&lt;=1.5),1,IF(AND(B131&gt;=0.5,B131&lt;=2),0.5,0))</f>
        <v>0</v>
      </c>
      <c r="M131">
        <f>IF(AND(C131&gt;=0.5,C131&lt;=2),1,IF(AND(C131&gt;=0.1,C131&lt;=5),0.5,0))</f>
        <v>0</v>
      </c>
      <c r="N131">
        <f>IF(AND(G131&gt;=4,G131&lt;=7),1,IF(AND(G131&gt;=3,G131&lt;=8),0.5,0))</f>
        <v>0</v>
      </c>
      <c r="O131">
        <f>IF(AND(F131&gt;=270,F131&lt;=310),1,IF(AND(F131&gt;=250,F131&lt;=330),0.5,0))</f>
        <v>0</v>
      </c>
      <c r="P131">
        <f>IF(AND(E131&gt;=0.8,E131&lt;=1.5),1,IF(AND(E131&gt;=0.5,E131&lt;=2),0.5,0))</f>
        <v>0</v>
      </c>
      <c r="Q131">
        <f>IF(AND(H131&gt;=5000,H131&lt;=6000),1,IF(AND(H131&gt;=4000,H131&lt;5000),0.5,0))</f>
        <v>1</v>
      </c>
      <c r="R131">
        <f>0.35*AVERAGE(L131:M131:N131)+0.3*O131+0.2*P131+0.15*Q131</f>
        <v>0.15</v>
      </c>
      <c r="S131" t="str">
        <f>LEFT(K131,1)</f>
        <v>G</v>
      </c>
      <c r="T131">
        <f>IF(S131="G",1,0)</f>
        <v>1</v>
      </c>
      <c r="U131">
        <f>IF(S131="K",1,0)</f>
        <v>0</v>
      </c>
      <c r="V131">
        <f>IF(S131="M",1,0)</f>
        <v>0</v>
      </c>
      <c r="W131">
        <f>IF(S131="F",1,0)</f>
        <v>0</v>
      </c>
    </row>
    <row r="132" spans="1:23" x14ac:dyDescent="0.3">
      <c r="A132" t="s">
        <v>654</v>
      </c>
      <c r="B132">
        <v>13.316269070000001</v>
      </c>
      <c r="C132">
        <v>1017.0509024</v>
      </c>
      <c r="D132">
        <v>1.4404452700000001</v>
      </c>
      <c r="E132">
        <v>2.0650000000000002E-2</v>
      </c>
      <c r="F132">
        <v>872</v>
      </c>
      <c r="G132">
        <f>IF(OR(C132="",B132="",B132=0),"",5.51*(C132/(B132^3)))</f>
        <v>2.3732670106242795</v>
      </c>
      <c r="H132">
        <v>3572</v>
      </c>
      <c r="I132">
        <v>4.1013184324244674E-2</v>
      </c>
      <c r="J132">
        <v>0.32300000000000001</v>
      </c>
      <c r="L132">
        <f>IF(AND(B132&gt;=0.8,B132&lt;=1.5),1,IF(AND(B132&gt;=0.5,B132&lt;=2),0.5,0))</f>
        <v>0</v>
      </c>
      <c r="M132">
        <f>IF(AND(C132&gt;=0.5,C132&lt;=2),1,IF(AND(C132&gt;=0.1,C132&lt;=5),0.5,0))</f>
        <v>0</v>
      </c>
      <c r="N132">
        <f>IF(AND(G132&gt;=4,G132&lt;=7),1,IF(AND(G132&gt;=3,G132&lt;=8),0.5,0))</f>
        <v>0</v>
      </c>
      <c r="O132">
        <f>IF(AND(F132&gt;=270,F132&lt;=310),1,IF(AND(F132&gt;=250,F132&lt;=330),0.5,0))</f>
        <v>0</v>
      </c>
      <c r="P132">
        <f>IF(AND(E132&gt;=0.8,E132&lt;=1.5),1,IF(AND(E132&gt;=0.5,E132&lt;=2),0.5,0))</f>
        <v>0</v>
      </c>
      <c r="Q132">
        <f>IF(AND(H132&gt;=5000,H132&lt;=6000),1,IF(AND(H132&gt;=4000,H132&lt;5000),0.5,0))</f>
        <v>0</v>
      </c>
      <c r="R132">
        <f>0.35*AVERAGE(L132:M132:N132)+0.3*O132+0.2*P132+0.15*Q132</f>
        <v>0</v>
      </c>
      <c r="S132" t="str">
        <f>LEFT(K132,1)</f>
        <v/>
      </c>
      <c r="T132">
        <f>IF(S132="G",1,0)</f>
        <v>0</v>
      </c>
      <c r="U132">
        <f>IF(S132="K",1,0)</f>
        <v>0</v>
      </c>
      <c r="V132">
        <f>IF(S132="M",1,0)</f>
        <v>0</v>
      </c>
      <c r="W132">
        <f>IF(S132="F",1,0)</f>
        <v>0</v>
      </c>
    </row>
    <row r="133" spans="1:23" x14ac:dyDescent="0.3">
      <c r="A133" t="s">
        <v>653</v>
      </c>
      <c r="B133">
        <v>11.5004142</v>
      </c>
      <c r="C133">
        <v>4049.1339051800001</v>
      </c>
      <c r="D133">
        <v>69.048000000000002</v>
      </c>
      <c r="E133">
        <v>0.33</v>
      </c>
      <c r="F133">
        <v>517.20000000000005</v>
      </c>
      <c r="G133">
        <f>IF(OR(C133="",B133="",B133=0),"",5.51*(C133/(B133^3)))</f>
        <v>14.668080722311164</v>
      </c>
      <c r="H133">
        <v>5757</v>
      </c>
      <c r="I133">
        <v>1.3033781870440955</v>
      </c>
      <c r="J133">
        <v>0.14000000000000001</v>
      </c>
      <c r="L133">
        <f>IF(AND(B133&gt;=0.8,B133&lt;=1.5),1,IF(AND(B133&gt;=0.5,B133&lt;=2),0.5,0))</f>
        <v>0</v>
      </c>
      <c r="M133">
        <f>IF(AND(C133&gt;=0.5,C133&lt;=2),1,IF(AND(C133&gt;=0.1,C133&lt;=5),0.5,0))</f>
        <v>0</v>
      </c>
      <c r="N133">
        <f>IF(AND(G133&gt;=4,G133&lt;=7),1,IF(AND(G133&gt;=3,G133&lt;=8),0.5,0))</f>
        <v>0</v>
      </c>
      <c r="O133">
        <f>IF(AND(F133&gt;=270,F133&lt;=310),1,IF(AND(F133&gt;=250,F133&lt;=330),0.5,0))</f>
        <v>0</v>
      </c>
      <c r="P133">
        <f>IF(AND(E133&gt;=0.8,E133&lt;=1.5),1,IF(AND(E133&gt;=0.5,E133&lt;=2),0.5,0))</f>
        <v>0</v>
      </c>
      <c r="Q133">
        <f>IF(AND(H133&gt;=5000,H133&lt;=6000),1,IF(AND(H133&gt;=4000,H133&lt;5000),0.5,0))</f>
        <v>1</v>
      </c>
      <c r="R133">
        <f>0.35*AVERAGE(L133:M133:N133)+0.3*O133+0.2*P133+0.15*Q133</f>
        <v>0.15</v>
      </c>
      <c r="S133" t="str">
        <f>LEFT(K133,1)</f>
        <v/>
      </c>
      <c r="T133">
        <f>IF(S133="G",1,0)</f>
        <v>0</v>
      </c>
      <c r="U133">
        <f>IF(S133="K",1,0)</f>
        <v>0</v>
      </c>
      <c r="V133">
        <f>IF(S133="M",1,0)</f>
        <v>0</v>
      </c>
      <c r="W133">
        <f>IF(S133="F",1,0)</f>
        <v>0</v>
      </c>
    </row>
    <row r="134" spans="1:23" x14ac:dyDescent="0.3">
      <c r="A134" t="s">
        <v>652</v>
      </c>
      <c r="B134">
        <v>5.03</v>
      </c>
      <c r="D134">
        <v>10.508843000000001</v>
      </c>
      <c r="E134">
        <v>8.4320000000000006E-2</v>
      </c>
      <c r="F134">
        <v>635</v>
      </c>
      <c r="G134" t="str">
        <f>IF(OR(C134="",B134="",B134=0),"",5.51*(C134/(B134^3)))</f>
        <v/>
      </c>
      <c r="H134">
        <v>3998</v>
      </c>
      <c r="I134">
        <v>0.19023821531594079</v>
      </c>
      <c r="J134">
        <v>-0.08</v>
      </c>
      <c r="K134" t="s">
        <v>651</v>
      </c>
      <c r="L134">
        <f>IF(AND(B134&gt;=0.8,B134&lt;=1.5),1,IF(AND(B134&gt;=0.5,B134&lt;=2),0.5,0))</f>
        <v>0</v>
      </c>
      <c r="M134">
        <f>IF(AND(C134&gt;=0.5,C134&lt;=2),1,IF(AND(C134&gt;=0.1,C134&lt;=5),0.5,0))</f>
        <v>0</v>
      </c>
      <c r="N134">
        <f>IF(AND(G134&gt;=4,G134&lt;=7),1,IF(AND(G134&gt;=3,G134&lt;=8),0.5,0))</f>
        <v>0</v>
      </c>
      <c r="O134">
        <f>IF(AND(F134&gt;=270,F134&lt;=310),1,IF(AND(F134&gt;=250,F134&lt;=330),0.5,0))</f>
        <v>0</v>
      </c>
      <c r="P134">
        <f>IF(AND(E134&gt;=0.8,E134&lt;=1.5),1,IF(AND(E134&gt;=0.5,E134&lt;=2),0.5,0))</f>
        <v>0</v>
      </c>
      <c r="Q134">
        <f>IF(AND(H134&gt;=5000,H134&lt;=6000),1,IF(AND(H134&gt;=4000,H134&lt;5000),0.5,0))</f>
        <v>0</v>
      </c>
      <c r="R134">
        <f>0.35*AVERAGE(L134:M134:N134)+0.3*O134+0.2*P134+0.15*Q134</f>
        <v>0</v>
      </c>
      <c r="S134" t="str">
        <f>LEFT(K134,1)</f>
        <v>K</v>
      </c>
      <c r="T134">
        <f>IF(S134="G",1,0)</f>
        <v>0</v>
      </c>
      <c r="U134">
        <f>IF(S134="K",1,0)</f>
        <v>1</v>
      </c>
      <c r="V134">
        <f>IF(S134="M",1,0)</f>
        <v>0</v>
      </c>
      <c r="W134">
        <f>IF(S134="F",1,0)</f>
        <v>0</v>
      </c>
    </row>
    <row r="135" spans="1:23" x14ac:dyDescent="0.3">
      <c r="A135" t="s">
        <v>650</v>
      </c>
      <c r="B135">
        <v>1.45</v>
      </c>
      <c r="C135">
        <v>4.04</v>
      </c>
      <c r="D135">
        <v>2.4704980000000001</v>
      </c>
      <c r="G135">
        <f>IF(OR(C135="",B135="",B135=0),"",5.51*(C135/(B135^3)))</f>
        <v>7.3017835909631383</v>
      </c>
      <c r="H135">
        <v>5475</v>
      </c>
      <c r="I135">
        <v>0.68234183440325291</v>
      </c>
      <c r="J135">
        <v>0.03</v>
      </c>
      <c r="L135">
        <f>IF(AND(B135&gt;=0.8,B135&lt;=1.5),1,IF(AND(B135&gt;=0.5,B135&lt;=2),0.5,0))</f>
        <v>1</v>
      </c>
      <c r="M135">
        <f>IF(AND(C135&gt;=0.5,C135&lt;=2),1,IF(AND(C135&gt;=0.1,C135&lt;=5),0.5,0))</f>
        <v>0.5</v>
      </c>
      <c r="N135">
        <f>IF(AND(G135&gt;=4,G135&lt;=7),1,IF(AND(G135&gt;=3,G135&lt;=8),0.5,0))</f>
        <v>0.5</v>
      </c>
      <c r="O135">
        <f>IF(AND(F135&gt;=270,F135&lt;=310),1,IF(AND(F135&gt;=250,F135&lt;=330),0.5,0))</f>
        <v>0</v>
      </c>
      <c r="P135">
        <f>IF(AND(E135&gt;=0.8,E135&lt;=1.5),1,IF(AND(E135&gt;=0.5,E135&lt;=2),0.5,0))</f>
        <v>0</v>
      </c>
      <c r="Q135">
        <f>IF(AND(H135&gt;=5000,H135&lt;=6000),1,IF(AND(H135&gt;=4000,H135&lt;5000),0.5,0))</f>
        <v>1</v>
      </c>
      <c r="R135">
        <f>0.35*AVERAGE(L135:M135:N135)+0.3*O135+0.2*P135+0.15*Q135</f>
        <v>0.3833333333333333</v>
      </c>
      <c r="S135" t="str">
        <f>LEFT(K135,1)</f>
        <v/>
      </c>
      <c r="T135">
        <f>IF(S135="G",1,0)</f>
        <v>0</v>
      </c>
      <c r="U135">
        <f>IF(S135="K",1,0)</f>
        <v>0</v>
      </c>
      <c r="V135">
        <f>IF(S135="M",1,0)</f>
        <v>0</v>
      </c>
      <c r="W135">
        <f>IF(S135="F",1,0)</f>
        <v>0</v>
      </c>
    </row>
    <row r="136" spans="1:23" x14ac:dyDescent="0.3">
      <c r="A136" t="s">
        <v>649</v>
      </c>
      <c r="B136">
        <v>2.87</v>
      </c>
      <c r="C136">
        <v>16.899999999999999</v>
      </c>
      <c r="D136">
        <v>9.1397030000000008</v>
      </c>
      <c r="E136">
        <v>9.103E-2</v>
      </c>
      <c r="F136">
        <v>1135</v>
      </c>
      <c r="G136">
        <f>IF(OR(C136="",B136="",B136=0),"",5.51*(C136/(B136^3)))</f>
        <v>3.9390601560420953</v>
      </c>
      <c r="H136">
        <v>6146</v>
      </c>
      <c r="I136">
        <v>2.0452868285238295</v>
      </c>
      <c r="J136">
        <v>0.14000000000000001</v>
      </c>
      <c r="L136">
        <f>IF(AND(B136&gt;=0.8,B136&lt;=1.5),1,IF(AND(B136&gt;=0.5,B136&lt;=2),0.5,0))</f>
        <v>0</v>
      </c>
      <c r="M136">
        <f>IF(AND(C136&gt;=0.5,C136&lt;=2),1,IF(AND(C136&gt;=0.1,C136&lt;=5),0.5,0))</f>
        <v>0</v>
      </c>
      <c r="N136">
        <f>IF(AND(G136&gt;=4,G136&lt;=7),1,IF(AND(G136&gt;=3,G136&lt;=8),0.5,0))</f>
        <v>0.5</v>
      </c>
      <c r="O136">
        <f>IF(AND(F136&gt;=270,F136&lt;=310),1,IF(AND(F136&gt;=250,F136&lt;=330),0.5,0))</f>
        <v>0</v>
      </c>
      <c r="P136">
        <f>IF(AND(E136&gt;=0.8,E136&lt;=1.5),1,IF(AND(E136&gt;=0.5,E136&lt;=2),0.5,0))</f>
        <v>0</v>
      </c>
      <c r="Q136">
        <f>IF(AND(H136&gt;=5000,H136&lt;=6000),1,IF(AND(H136&gt;=4000,H136&lt;5000),0.5,0))</f>
        <v>0</v>
      </c>
      <c r="R136">
        <f>0.35*AVERAGE(L136:M136:N136)+0.3*O136+0.2*P136+0.15*Q136</f>
        <v>5.8333333333333327E-2</v>
      </c>
      <c r="S136" t="str">
        <f>LEFT(K136,1)</f>
        <v/>
      </c>
      <c r="T136">
        <f>IF(S136="G",1,0)</f>
        <v>0</v>
      </c>
      <c r="U136">
        <f>IF(S136="K",1,0)</f>
        <v>0</v>
      </c>
      <c r="V136">
        <f>IF(S136="M",1,0)</f>
        <v>0</v>
      </c>
      <c r="W136">
        <f>IF(S136="F",1,0)</f>
        <v>0</v>
      </c>
    </row>
    <row r="137" spans="1:23" x14ac:dyDescent="0.3">
      <c r="A137" t="s">
        <v>648</v>
      </c>
      <c r="B137">
        <v>2.2650000000000001</v>
      </c>
      <c r="C137">
        <v>10.15</v>
      </c>
      <c r="D137">
        <v>4.1129600000000002</v>
      </c>
      <c r="E137">
        <v>5.1999999999999998E-2</v>
      </c>
      <c r="F137">
        <v>1077</v>
      </c>
      <c r="G137">
        <f>IF(OR(C137="",B137="",B137=0),"",5.51*(C137/(B137^3)))</f>
        <v>4.8129685304306724</v>
      </c>
      <c r="H137">
        <v>5328</v>
      </c>
      <c r="I137">
        <v>0.51015868759557104</v>
      </c>
      <c r="J137">
        <v>0.14000000000000001</v>
      </c>
      <c r="K137" t="s">
        <v>241</v>
      </c>
      <c r="L137">
        <f>IF(AND(B137&gt;=0.8,B137&lt;=1.5),1,IF(AND(B137&gt;=0.5,B137&lt;=2),0.5,0))</f>
        <v>0</v>
      </c>
      <c r="M137">
        <f>IF(AND(C137&gt;=0.5,C137&lt;=2),1,IF(AND(C137&gt;=0.1,C137&lt;=5),0.5,0))</f>
        <v>0</v>
      </c>
      <c r="N137">
        <f>IF(AND(G137&gt;=4,G137&lt;=7),1,IF(AND(G137&gt;=3,G137&lt;=8),0.5,0))</f>
        <v>1</v>
      </c>
      <c r="O137">
        <f>IF(AND(F137&gt;=270,F137&lt;=310),1,IF(AND(F137&gt;=250,F137&lt;=330),0.5,0))</f>
        <v>0</v>
      </c>
      <c r="P137">
        <f>IF(AND(E137&gt;=0.8,E137&lt;=1.5),1,IF(AND(E137&gt;=0.5,E137&lt;=2),0.5,0))</f>
        <v>0</v>
      </c>
      <c r="Q137">
        <f>IF(AND(H137&gt;=5000,H137&lt;=6000),1,IF(AND(H137&gt;=4000,H137&lt;5000),0.5,0))</f>
        <v>1</v>
      </c>
      <c r="R137">
        <f>0.35*AVERAGE(L137:M137:N137)+0.3*O137+0.2*P137+0.15*Q137</f>
        <v>0.26666666666666666</v>
      </c>
      <c r="S137" t="str">
        <f>LEFT(K137,1)</f>
        <v>G</v>
      </c>
      <c r="T137">
        <f>IF(S137="G",1,0)</f>
        <v>1</v>
      </c>
      <c r="U137">
        <f>IF(S137="K",1,0)</f>
        <v>0</v>
      </c>
      <c r="V137">
        <f>IF(S137="M",1,0)</f>
        <v>0</v>
      </c>
      <c r="W137">
        <f>IF(S137="F",1,0)</f>
        <v>0</v>
      </c>
    </row>
    <row r="138" spans="1:23" x14ac:dyDescent="0.3">
      <c r="A138" t="s">
        <v>647</v>
      </c>
      <c r="B138">
        <v>2.5870000000000002</v>
      </c>
      <c r="C138">
        <v>13.5</v>
      </c>
      <c r="D138">
        <v>6.4438680000000002</v>
      </c>
      <c r="E138">
        <v>6.1519999999999998E-2</v>
      </c>
      <c r="F138">
        <v>784</v>
      </c>
      <c r="G138">
        <f>IF(OR(C138="",B138="",B138=0),"",5.51*(C138/(B138^3)))</f>
        <v>4.2963146582569207</v>
      </c>
      <c r="H138">
        <v>4734</v>
      </c>
      <c r="I138">
        <v>0.23750683140188814</v>
      </c>
      <c r="J138">
        <v>0.05</v>
      </c>
      <c r="L138">
        <f>IF(AND(B138&gt;=0.8,B138&lt;=1.5),1,IF(AND(B138&gt;=0.5,B138&lt;=2),0.5,0))</f>
        <v>0</v>
      </c>
      <c r="M138">
        <f>IF(AND(C138&gt;=0.5,C138&lt;=2),1,IF(AND(C138&gt;=0.1,C138&lt;=5),0.5,0))</f>
        <v>0</v>
      </c>
      <c r="N138">
        <f>IF(AND(G138&gt;=4,G138&lt;=7),1,IF(AND(G138&gt;=3,G138&lt;=8),0.5,0))</f>
        <v>1</v>
      </c>
      <c r="O138">
        <f>IF(AND(F138&gt;=270,F138&lt;=310),1,IF(AND(F138&gt;=250,F138&lt;=330),0.5,0))</f>
        <v>0</v>
      </c>
      <c r="P138">
        <f>IF(AND(E138&gt;=0.8,E138&lt;=1.5),1,IF(AND(E138&gt;=0.5,E138&lt;=2),0.5,0))</f>
        <v>0</v>
      </c>
      <c r="Q138">
        <f>IF(AND(H138&gt;=5000,H138&lt;=6000),1,IF(AND(H138&gt;=4000,H138&lt;5000),0.5,0))</f>
        <v>0.5</v>
      </c>
      <c r="R138">
        <f>0.35*AVERAGE(L138:M138:N138)+0.3*O138+0.2*P138+0.15*Q138</f>
        <v>0.19166666666666665</v>
      </c>
      <c r="S138" t="str">
        <f>LEFT(K138,1)</f>
        <v/>
      </c>
      <c r="T138">
        <f>IF(S138="G",1,0)</f>
        <v>0</v>
      </c>
      <c r="U138">
        <f>IF(S138="K",1,0)</f>
        <v>0</v>
      </c>
      <c r="V138">
        <f>IF(S138="M",1,0)</f>
        <v>0</v>
      </c>
      <c r="W138">
        <f>IF(S138="F",1,0)</f>
        <v>0</v>
      </c>
    </row>
    <row r="139" spans="1:23" x14ac:dyDescent="0.3">
      <c r="A139" t="s">
        <v>646</v>
      </c>
      <c r="B139">
        <v>2.6509999999999998</v>
      </c>
      <c r="C139">
        <v>2.5</v>
      </c>
      <c r="D139">
        <v>12.226573999999999</v>
      </c>
      <c r="E139">
        <v>9.4289999999999999E-2</v>
      </c>
      <c r="F139">
        <v>634</v>
      </c>
      <c r="G139">
        <f>IF(OR(C139="",B139="",B139=0),"",5.51*(C139/(B139^3)))</f>
        <v>0.73937102022702705</v>
      </c>
      <c r="H139">
        <v>4734</v>
      </c>
      <c r="I139">
        <v>0.23750683140188814</v>
      </c>
      <c r="J139">
        <v>0.05</v>
      </c>
      <c r="L139">
        <f>IF(AND(B139&gt;=0.8,B139&lt;=1.5),1,IF(AND(B139&gt;=0.5,B139&lt;=2),0.5,0))</f>
        <v>0</v>
      </c>
      <c r="M139">
        <f>IF(AND(C139&gt;=0.5,C139&lt;=2),1,IF(AND(C139&gt;=0.1,C139&lt;=5),0.5,0))</f>
        <v>0.5</v>
      </c>
      <c r="N139">
        <f>IF(AND(G139&gt;=4,G139&lt;=7),1,IF(AND(G139&gt;=3,G139&lt;=8),0.5,0))</f>
        <v>0</v>
      </c>
      <c r="O139">
        <f>IF(AND(F139&gt;=270,F139&lt;=310),1,IF(AND(F139&gt;=250,F139&lt;=330),0.5,0))</f>
        <v>0</v>
      </c>
      <c r="P139">
        <f>IF(AND(E139&gt;=0.8,E139&lt;=1.5),1,IF(AND(E139&gt;=0.5,E139&lt;=2),0.5,0))</f>
        <v>0</v>
      </c>
      <c r="Q139">
        <f>IF(AND(H139&gt;=5000,H139&lt;=6000),1,IF(AND(H139&gt;=4000,H139&lt;5000),0.5,0))</f>
        <v>0.5</v>
      </c>
      <c r="R139">
        <f>0.35*AVERAGE(L139:M139:N139)+0.3*O139+0.2*P139+0.15*Q139</f>
        <v>0.13333333333333333</v>
      </c>
      <c r="S139" t="str">
        <f>LEFT(K139,1)</f>
        <v/>
      </c>
      <c r="T139">
        <f>IF(S139="G",1,0)</f>
        <v>0</v>
      </c>
      <c r="U139">
        <f>IF(S139="K",1,0)</f>
        <v>0</v>
      </c>
      <c r="V139">
        <f>IF(S139="M",1,0)</f>
        <v>0</v>
      </c>
      <c r="W139">
        <f>IF(S139="F",1,0)</f>
        <v>0</v>
      </c>
    </row>
    <row r="140" spans="1:23" x14ac:dyDescent="0.3">
      <c r="A140" t="s">
        <v>645</v>
      </c>
      <c r="B140">
        <v>1.7909999999999999</v>
      </c>
      <c r="C140">
        <v>9.9499999999999993</v>
      </c>
      <c r="D140">
        <v>0.60473279999999996</v>
      </c>
      <c r="E140">
        <v>1.159E-2</v>
      </c>
      <c r="F140">
        <v>1323</v>
      </c>
      <c r="G140">
        <f>IF(OR(C140="",B140="",B140=0),"",5.51*(C140/(B140^3)))</f>
        <v>9.5430658818975811</v>
      </c>
      <c r="H140">
        <v>3875</v>
      </c>
      <c r="I140">
        <v>6.8285570498727313E-2</v>
      </c>
      <c r="J140">
        <v>-0.08</v>
      </c>
      <c r="K140" t="s">
        <v>644</v>
      </c>
      <c r="L140">
        <f>IF(AND(B140&gt;=0.8,B140&lt;=1.5),1,IF(AND(B140&gt;=0.5,B140&lt;=2),0.5,0))</f>
        <v>0.5</v>
      </c>
      <c r="M140">
        <f>IF(AND(C140&gt;=0.5,C140&lt;=2),1,IF(AND(C140&gt;=0.1,C140&lt;=5),0.5,0))</f>
        <v>0</v>
      </c>
      <c r="N140">
        <f>IF(AND(G140&gt;=4,G140&lt;=7),1,IF(AND(G140&gt;=3,G140&lt;=8),0.5,0))</f>
        <v>0</v>
      </c>
      <c r="O140">
        <f>IF(AND(F140&gt;=270,F140&lt;=310),1,IF(AND(F140&gt;=250,F140&lt;=330),0.5,0))</f>
        <v>0</v>
      </c>
      <c r="P140">
        <f>IF(AND(E140&gt;=0.8,E140&lt;=1.5),1,IF(AND(E140&gt;=0.5,E140&lt;=2),0.5,0))</f>
        <v>0</v>
      </c>
      <c r="Q140">
        <f>IF(AND(H140&gt;=5000,H140&lt;=6000),1,IF(AND(H140&gt;=4000,H140&lt;5000),0.5,0))</f>
        <v>0</v>
      </c>
      <c r="R140">
        <f>0.35*AVERAGE(L140:M140:N140)+0.3*O140+0.2*P140+0.15*Q140</f>
        <v>5.8333333333333327E-2</v>
      </c>
      <c r="S140" t="str">
        <f>LEFT(K140,1)</f>
        <v>K</v>
      </c>
      <c r="T140">
        <f>IF(S140="G",1,0)</f>
        <v>0</v>
      </c>
      <c r="U140">
        <f>IF(S140="K",1,0)</f>
        <v>1</v>
      </c>
      <c r="V140">
        <f>IF(S140="M",1,0)</f>
        <v>0</v>
      </c>
      <c r="W140">
        <f>IF(S140="F",1,0)</f>
        <v>0</v>
      </c>
    </row>
    <row r="141" spans="1:23" x14ac:dyDescent="0.3">
      <c r="A141" t="s">
        <v>643</v>
      </c>
      <c r="B141">
        <v>14.57167491</v>
      </c>
      <c r="C141">
        <v>1064.7251634500001</v>
      </c>
      <c r="D141">
        <v>4.0782387</v>
      </c>
      <c r="E141">
        <v>5.6099999999999997E-2</v>
      </c>
      <c r="F141">
        <v>1728</v>
      </c>
      <c r="G141">
        <f>IF(OR(C141="",B141="",B141=0),"",5.51*(C141/(B141^3)))</f>
        <v>1.8960976325979984</v>
      </c>
      <c r="H141">
        <v>6311</v>
      </c>
      <c r="I141">
        <v>4.6627241215868294</v>
      </c>
      <c r="J141">
        <v>-0.1</v>
      </c>
      <c r="K141" t="s">
        <v>98</v>
      </c>
      <c r="L141">
        <f>IF(AND(B141&gt;=0.8,B141&lt;=1.5),1,IF(AND(B141&gt;=0.5,B141&lt;=2),0.5,0))</f>
        <v>0</v>
      </c>
      <c r="M141">
        <f>IF(AND(C141&gt;=0.5,C141&lt;=2),1,IF(AND(C141&gt;=0.1,C141&lt;=5),0.5,0))</f>
        <v>0</v>
      </c>
      <c r="N141">
        <f>IF(AND(G141&gt;=4,G141&lt;=7),1,IF(AND(G141&gt;=3,G141&lt;=8),0.5,0))</f>
        <v>0</v>
      </c>
      <c r="O141">
        <f>IF(AND(F141&gt;=270,F141&lt;=310),1,IF(AND(F141&gt;=250,F141&lt;=330),0.5,0))</f>
        <v>0</v>
      </c>
      <c r="P141">
        <f>IF(AND(E141&gt;=0.8,E141&lt;=1.5),1,IF(AND(E141&gt;=0.5,E141&lt;=2),0.5,0))</f>
        <v>0</v>
      </c>
      <c r="Q141">
        <f>IF(AND(H141&gt;=5000,H141&lt;=6000),1,IF(AND(H141&gt;=4000,H141&lt;5000),0.5,0))</f>
        <v>0</v>
      </c>
      <c r="R141">
        <f>0.35*AVERAGE(L141:M141:N141)+0.3*O141+0.2*P141+0.15*Q141</f>
        <v>0</v>
      </c>
      <c r="S141" t="str">
        <f>LEFT(K141,1)</f>
        <v>F</v>
      </c>
      <c r="T141">
        <f>IF(S141="G",1,0)</f>
        <v>0</v>
      </c>
      <c r="U141">
        <f>IF(S141="K",1,0)</f>
        <v>0</v>
      </c>
      <c r="V141">
        <f>IF(S141="M",1,0)</f>
        <v>0</v>
      </c>
      <c r="W141">
        <f>IF(S141="F",1,0)</f>
        <v>1</v>
      </c>
    </row>
    <row r="142" spans="1:23" x14ac:dyDescent="0.3">
      <c r="A142" t="s">
        <v>642</v>
      </c>
      <c r="B142">
        <v>2.46</v>
      </c>
      <c r="C142">
        <v>8.9</v>
      </c>
      <c r="D142">
        <v>2.2281599999999999</v>
      </c>
      <c r="E142">
        <v>3.3000000000000002E-2</v>
      </c>
      <c r="F142">
        <v>1538</v>
      </c>
      <c r="G142">
        <f>IF(OR(C142="",B142="",B142=0),"",5.51*(C142/(B142^3)))</f>
        <v>3.2940962465345458</v>
      </c>
      <c r="H142">
        <v>5635</v>
      </c>
      <c r="I142">
        <v>0.99734204875378007</v>
      </c>
      <c r="J142">
        <v>0.13600000000000001</v>
      </c>
      <c r="K142" t="s">
        <v>641</v>
      </c>
      <c r="L142">
        <f>IF(AND(B142&gt;=0.8,B142&lt;=1.5),1,IF(AND(B142&gt;=0.5,B142&lt;=2),0.5,0))</f>
        <v>0</v>
      </c>
      <c r="M142">
        <f>IF(AND(C142&gt;=0.5,C142&lt;=2),1,IF(AND(C142&gt;=0.1,C142&lt;=5),0.5,0))</f>
        <v>0</v>
      </c>
      <c r="N142">
        <f>IF(AND(G142&gt;=4,G142&lt;=7),1,IF(AND(G142&gt;=3,G142&lt;=8),0.5,0))</f>
        <v>0.5</v>
      </c>
      <c r="O142">
        <f>IF(AND(F142&gt;=270,F142&lt;=310),1,IF(AND(F142&gt;=250,F142&lt;=330),0.5,0))</f>
        <v>0</v>
      </c>
      <c r="P142">
        <f>IF(AND(E142&gt;=0.8,E142&lt;=1.5),1,IF(AND(E142&gt;=0.5,E142&lt;=2),0.5,0))</f>
        <v>0</v>
      </c>
      <c r="Q142">
        <f>IF(AND(H142&gt;=5000,H142&lt;=6000),1,IF(AND(H142&gt;=4000,H142&lt;5000),0.5,0))</f>
        <v>1</v>
      </c>
      <c r="R142">
        <f>0.35*AVERAGE(L142:M142:N142)+0.3*O142+0.2*P142+0.15*Q142</f>
        <v>0.20833333333333331</v>
      </c>
      <c r="S142" t="str">
        <f>LEFT(K142,1)</f>
        <v>G</v>
      </c>
      <c r="T142">
        <f>IF(S142="G",1,0)</f>
        <v>1</v>
      </c>
      <c r="U142">
        <f>IF(S142="K",1,0)</f>
        <v>0</v>
      </c>
      <c r="V142">
        <f>IF(S142="M",1,0)</f>
        <v>0</v>
      </c>
      <c r="W142">
        <f>IF(S142="F",1,0)</f>
        <v>0</v>
      </c>
    </row>
    <row r="143" spans="1:23" x14ac:dyDescent="0.3">
      <c r="A143" t="s">
        <v>640</v>
      </c>
      <c r="B143">
        <v>3.66</v>
      </c>
      <c r="C143">
        <v>19.8</v>
      </c>
      <c r="D143">
        <v>4.074554</v>
      </c>
      <c r="E143">
        <v>4.53E-2</v>
      </c>
      <c r="F143">
        <v>825</v>
      </c>
      <c r="G143">
        <f>IF(OR(C143="",B143="",B143=0),"",5.51*(C143/(B143^3)))</f>
        <v>2.2252229628617957</v>
      </c>
      <c r="H143">
        <v>4360</v>
      </c>
      <c r="I143">
        <v>0.15750754530340871</v>
      </c>
      <c r="J143">
        <v>0.11</v>
      </c>
      <c r="L143">
        <f>IF(AND(B143&gt;=0.8,B143&lt;=1.5),1,IF(AND(B143&gt;=0.5,B143&lt;=2),0.5,0))</f>
        <v>0</v>
      </c>
      <c r="M143">
        <f>IF(AND(C143&gt;=0.5,C143&lt;=2),1,IF(AND(C143&gt;=0.1,C143&lt;=5),0.5,0))</f>
        <v>0</v>
      </c>
      <c r="N143">
        <f>IF(AND(G143&gt;=4,G143&lt;=7),1,IF(AND(G143&gt;=3,G143&lt;=8),0.5,0))</f>
        <v>0</v>
      </c>
      <c r="O143">
        <f>IF(AND(F143&gt;=270,F143&lt;=310),1,IF(AND(F143&gt;=250,F143&lt;=330),0.5,0))</f>
        <v>0</v>
      </c>
      <c r="P143">
        <f>IF(AND(E143&gt;=0.8,E143&lt;=1.5),1,IF(AND(E143&gt;=0.5,E143&lt;=2),0.5,0))</f>
        <v>0</v>
      </c>
      <c r="Q143">
        <f>IF(AND(H143&gt;=5000,H143&lt;=6000),1,IF(AND(H143&gt;=4000,H143&lt;5000),0.5,0))</f>
        <v>0.5</v>
      </c>
      <c r="R143">
        <f>0.35*AVERAGE(L143:M143:N143)+0.3*O143+0.2*P143+0.15*Q143</f>
        <v>7.4999999999999997E-2</v>
      </c>
      <c r="S143" t="str">
        <f>LEFT(K143,1)</f>
        <v/>
      </c>
      <c r="T143">
        <f>IF(S143="G",1,0)</f>
        <v>0</v>
      </c>
      <c r="U143">
        <f>IF(S143="K",1,0)</f>
        <v>0</v>
      </c>
      <c r="V143">
        <f>IF(S143="M",1,0)</f>
        <v>0</v>
      </c>
      <c r="W143">
        <f>IF(S143="F",1,0)</f>
        <v>0</v>
      </c>
    </row>
    <row r="144" spans="1:23" x14ac:dyDescent="0.3">
      <c r="A144" t="s">
        <v>639</v>
      </c>
      <c r="B144">
        <v>13</v>
      </c>
      <c r="C144">
        <v>336</v>
      </c>
      <c r="D144">
        <v>8.3501898000000008</v>
      </c>
      <c r="E144">
        <v>7.3099999999999998E-2</v>
      </c>
      <c r="F144">
        <v>650</v>
      </c>
      <c r="G144">
        <f>IF(OR(C144="",B144="",B144=0),"",5.51*(C144/(B144^3)))</f>
        <v>0.84267637687756036</v>
      </c>
      <c r="H144">
        <v>4360</v>
      </c>
      <c r="I144">
        <v>0.15750754530340871</v>
      </c>
      <c r="J144">
        <v>0.11</v>
      </c>
      <c r="L144">
        <f>IF(AND(B144&gt;=0.8,B144&lt;=1.5),1,IF(AND(B144&gt;=0.5,B144&lt;=2),0.5,0))</f>
        <v>0</v>
      </c>
      <c r="M144">
        <f>IF(AND(C144&gt;=0.5,C144&lt;=2),1,IF(AND(C144&gt;=0.1,C144&lt;=5),0.5,0))</f>
        <v>0</v>
      </c>
      <c r="N144">
        <f>IF(AND(G144&gt;=4,G144&lt;=7),1,IF(AND(G144&gt;=3,G144&lt;=8),0.5,0))</f>
        <v>0</v>
      </c>
      <c r="O144">
        <f>IF(AND(F144&gt;=270,F144&lt;=310),1,IF(AND(F144&gt;=250,F144&lt;=330),0.5,0))</f>
        <v>0</v>
      </c>
      <c r="P144">
        <f>IF(AND(E144&gt;=0.8,E144&lt;=1.5),1,IF(AND(E144&gt;=0.5,E144&lt;=2),0.5,0))</f>
        <v>0</v>
      </c>
      <c r="Q144">
        <f>IF(AND(H144&gt;=5000,H144&lt;=6000),1,IF(AND(H144&gt;=4000,H144&lt;5000),0.5,0))</f>
        <v>0.5</v>
      </c>
      <c r="R144">
        <f>0.35*AVERAGE(L144:M144:N144)+0.3*O144+0.2*P144+0.15*Q144</f>
        <v>7.4999999999999997E-2</v>
      </c>
      <c r="S144" t="str">
        <f>LEFT(K144,1)</f>
        <v/>
      </c>
      <c r="T144">
        <f>IF(S144="G",1,0)</f>
        <v>0</v>
      </c>
      <c r="U144">
        <f>IF(S144="K",1,0)</f>
        <v>0</v>
      </c>
      <c r="V144">
        <f>IF(S144="M",1,0)</f>
        <v>0</v>
      </c>
      <c r="W144">
        <f>IF(S144="F",1,0)</f>
        <v>0</v>
      </c>
    </row>
    <row r="145" spans="1:23" x14ac:dyDescent="0.3">
      <c r="A145" t="s">
        <v>638</v>
      </c>
      <c r="B145">
        <v>9.3408499999999997</v>
      </c>
      <c r="D145">
        <v>8.0277282999999997</v>
      </c>
      <c r="E145">
        <v>8.2337403000000003E-2</v>
      </c>
      <c r="F145">
        <v>1074.28</v>
      </c>
      <c r="G145" t="str">
        <f>IF(OR(C145="",B145="",B145=0),"",5.51*(C145/(B145^3)))</f>
        <v/>
      </c>
      <c r="H145">
        <v>5962.7</v>
      </c>
      <c r="I145">
        <v>1.4998829490392558</v>
      </c>
      <c r="L145">
        <f>IF(AND(B145&gt;=0.8,B145&lt;=1.5),1,IF(AND(B145&gt;=0.5,B145&lt;=2),0.5,0))</f>
        <v>0</v>
      </c>
      <c r="M145">
        <f>IF(AND(C145&gt;=0.5,C145&lt;=2),1,IF(AND(C145&gt;=0.1,C145&lt;=5),0.5,0))</f>
        <v>0</v>
      </c>
      <c r="N145">
        <f>IF(AND(G145&gt;=4,G145&lt;=7),1,IF(AND(G145&gt;=3,G145&lt;=8),0.5,0))</f>
        <v>0</v>
      </c>
      <c r="O145">
        <f>IF(AND(F145&gt;=270,F145&lt;=310),1,IF(AND(F145&gt;=250,F145&lt;=330),0.5,0))</f>
        <v>0</v>
      </c>
      <c r="P145">
        <f>IF(AND(E145&gt;=0.8,E145&lt;=1.5),1,IF(AND(E145&gt;=0.5,E145&lt;=2),0.5,0))</f>
        <v>0</v>
      </c>
      <c r="Q145">
        <f>IF(AND(H145&gt;=5000,H145&lt;=6000),1,IF(AND(H145&gt;=4000,H145&lt;5000),0.5,0))</f>
        <v>1</v>
      </c>
      <c r="R145">
        <f>0.35*AVERAGE(L145:M145:N145)+0.3*O145+0.2*P145+0.15*Q145</f>
        <v>0.15</v>
      </c>
      <c r="S145" t="str">
        <f>LEFT(K145,1)</f>
        <v/>
      </c>
      <c r="T145">
        <f>IF(S145="G",1,0)</f>
        <v>0</v>
      </c>
      <c r="U145">
        <f>IF(S145="K",1,0)</f>
        <v>0</v>
      </c>
      <c r="V145">
        <f>IF(S145="M",1,0)</f>
        <v>0</v>
      </c>
      <c r="W145">
        <f>IF(S145="F",1,0)</f>
        <v>0</v>
      </c>
    </row>
    <row r="146" spans="1:23" x14ac:dyDescent="0.3">
      <c r="A146" t="s">
        <v>637</v>
      </c>
      <c r="C146">
        <v>3.5</v>
      </c>
      <c r="D146">
        <v>4.1726999999999999</v>
      </c>
      <c r="E146">
        <v>5.1060000000000001E-2</v>
      </c>
      <c r="F146">
        <v>1216</v>
      </c>
      <c r="G146" t="str">
        <f>IF(OR(C146="",B146="",B146=0),"",5.51*(C146/(B146^3)))</f>
        <v/>
      </c>
      <c r="H146">
        <v>5770</v>
      </c>
      <c r="I146">
        <v>0.9318452959848047</v>
      </c>
      <c r="J146">
        <v>7.0000000000000007E-2</v>
      </c>
      <c r="L146">
        <f>IF(AND(B146&gt;=0.8,B146&lt;=1.5),1,IF(AND(B146&gt;=0.5,B146&lt;=2),0.5,0))</f>
        <v>0</v>
      </c>
      <c r="M146">
        <f>IF(AND(C146&gt;=0.5,C146&lt;=2),1,IF(AND(C146&gt;=0.1,C146&lt;=5),0.5,0))</f>
        <v>0.5</v>
      </c>
      <c r="N146">
        <f>IF(AND(G146&gt;=4,G146&lt;=7),1,IF(AND(G146&gt;=3,G146&lt;=8),0.5,0))</f>
        <v>0</v>
      </c>
      <c r="O146">
        <f>IF(AND(F146&gt;=270,F146&lt;=310),1,IF(AND(F146&gt;=250,F146&lt;=330),0.5,0))</f>
        <v>0</v>
      </c>
      <c r="P146">
        <f>IF(AND(E146&gt;=0.8,E146&lt;=1.5),1,IF(AND(E146&gt;=0.5,E146&lt;=2),0.5,0))</f>
        <v>0</v>
      </c>
      <c r="Q146">
        <f>IF(AND(H146&gt;=5000,H146&lt;=6000),1,IF(AND(H146&gt;=4000,H146&lt;5000),0.5,0))</f>
        <v>1</v>
      </c>
      <c r="R146">
        <f>0.35*AVERAGE(L146:M146:N146)+0.3*O146+0.2*P146+0.15*Q146</f>
        <v>0.20833333333333331</v>
      </c>
      <c r="S146" t="str">
        <f>LEFT(K146,1)</f>
        <v/>
      </c>
      <c r="T146">
        <f>IF(S146="G",1,0)</f>
        <v>0</v>
      </c>
      <c r="U146">
        <f>IF(S146="K",1,0)</f>
        <v>0</v>
      </c>
      <c r="V146">
        <f>IF(S146="M",1,0)</f>
        <v>0</v>
      </c>
      <c r="W146">
        <f>IF(S146="F",1,0)</f>
        <v>0</v>
      </c>
    </row>
    <row r="147" spans="1:23" x14ac:dyDescent="0.3">
      <c r="A147" t="s">
        <v>636</v>
      </c>
      <c r="C147">
        <v>6.32</v>
      </c>
      <c r="D147">
        <v>6.2573999999999996</v>
      </c>
      <c r="E147">
        <v>6.6900000000000001E-2</v>
      </c>
      <c r="F147">
        <v>1062</v>
      </c>
      <c r="G147" t="str">
        <f>IF(OR(C147="",B147="",B147=0),"",5.51*(C147/(B147^3)))</f>
        <v/>
      </c>
      <c r="H147">
        <v>5770</v>
      </c>
      <c r="I147">
        <v>0.9318452959848047</v>
      </c>
      <c r="J147">
        <v>7.0000000000000007E-2</v>
      </c>
      <c r="L147">
        <f>IF(AND(B147&gt;=0.8,B147&lt;=1.5),1,IF(AND(B147&gt;=0.5,B147&lt;=2),0.5,0))</f>
        <v>0</v>
      </c>
      <c r="M147">
        <f>IF(AND(C147&gt;=0.5,C147&lt;=2),1,IF(AND(C147&gt;=0.1,C147&lt;=5),0.5,0))</f>
        <v>0</v>
      </c>
      <c r="N147">
        <f>IF(AND(G147&gt;=4,G147&lt;=7),1,IF(AND(G147&gt;=3,G147&lt;=8),0.5,0))</f>
        <v>0</v>
      </c>
      <c r="O147">
        <f>IF(AND(F147&gt;=270,F147&lt;=310),1,IF(AND(F147&gt;=250,F147&lt;=330),0.5,0))</f>
        <v>0</v>
      </c>
      <c r="P147">
        <f>IF(AND(E147&gt;=0.8,E147&lt;=1.5),1,IF(AND(E147&gt;=0.5,E147&lt;=2),0.5,0))</f>
        <v>0</v>
      </c>
      <c r="Q147">
        <f>IF(AND(H147&gt;=5000,H147&lt;=6000),1,IF(AND(H147&gt;=4000,H147&lt;5000),0.5,0))</f>
        <v>1</v>
      </c>
      <c r="R147">
        <f>0.35*AVERAGE(L147:M147:N147)+0.3*O147+0.2*P147+0.15*Q147</f>
        <v>0.15</v>
      </c>
      <c r="S147" t="str">
        <f>LEFT(K147,1)</f>
        <v/>
      </c>
      <c r="T147">
        <f>IF(S147="G",1,0)</f>
        <v>0</v>
      </c>
      <c r="U147">
        <f>IF(S147="K",1,0)</f>
        <v>0</v>
      </c>
      <c r="V147">
        <f>IF(S147="M",1,0)</f>
        <v>0</v>
      </c>
      <c r="W147">
        <f>IF(S147="F",1,0)</f>
        <v>0</v>
      </c>
    </row>
    <row r="148" spans="1:23" x14ac:dyDescent="0.3">
      <c r="A148" t="s">
        <v>635</v>
      </c>
      <c r="C148">
        <v>8.35</v>
      </c>
      <c r="D148">
        <v>12.5199</v>
      </c>
      <c r="E148">
        <v>0.1062</v>
      </c>
      <c r="F148">
        <v>843</v>
      </c>
      <c r="G148" t="str">
        <f>IF(OR(C148="",B148="",B148=0),"",5.51*(C148/(B148^3)))</f>
        <v/>
      </c>
      <c r="H148">
        <v>5770</v>
      </c>
      <c r="I148">
        <v>0.9318452959848047</v>
      </c>
      <c r="J148">
        <v>7.0000000000000007E-2</v>
      </c>
      <c r="L148">
        <f>IF(AND(B148&gt;=0.8,B148&lt;=1.5),1,IF(AND(B148&gt;=0.5,B148&lt;=2),0.5,0))</f>
        <v>0</v>
      </c>
      <c r="M148">
        <f>IF(AND(C148&gt;=0.5,C148&lt;=2),1,IF(AND(C148&gt;=0.1,C148&lt;=5),0.5,0))</f>
        <v>0</v>
      </c>
      <c r="N148">
        <f>IF(AND(G148&gt;=4,G148&lt;=7),1,IF(AND(G148&gt;=3,G148&lt;=8),0.5,0))</f>
        <v>0</v>
      </c>
      <c r="O148">
        <f>IF(AND(F148&gt;=270,F148&lt;=310),1,IF(AND(F148&gt;=250,F148&lt;=330),0.5,0))</f>
        <v>0</v>
      </c>
      <c r="P148">
        <f>IF(AND(E148&gt;=0.8,E148&lt;=1.5),1,IF(AND(E148&gt;=0.5,E148&lt;=2),0.5,0))</f>
        <v>0</v>
      </c>
      <c r="Q148">
        <f>IF(AND(H148&gt;=5000,H148&lt;=6000),1,IF(AND(H148&gt;=4000,H148&lt;5000),0.5,0))</f>
        <v>1</v>
      </c>
      <c r="R148">
        <f>0.35*AVERAGE(L148:M148:N148)+0.3*O148+0.2*P148+0.15*Q148</f>
        <v>0.15</v>
      </c>
      <c r="S148" t="str">
        <f>LEFT(K148,1)</f>
        <v/>
      </c>
      <c r="T148">
        <f>IF(S148="G",1,0)</f>
        <v>0</v>
      </c>
      <c r="U148">
        <f>IF(S148="K",1,0)</f>
        <v>0</v>
      </c>
      <c r="V148">
        <f>IF(S148="M",1,0)</f>
        <v>0</v>
      </c>
      <c r="W148">
        <f>IF(S148="F",1,0)</f>
        <v>0</v>
      </c>
    </row>
    <row r="149" spans="1:23" x14ac:dyDescent="0.3">
      <c r="A149" t="s">
        <v>634</v>
      </c>
      <c r="C149">
        <v>6.07</v>
      </c>
      <c r="D149">
        <v>18.800999999999998</v>
      </c>
      <c r="F149">
        <v>737</v>
      </c>
      <c r="G149" t="str">
        <f>IF(OR(C149="",B149="",B149=0),"",5.51*(C149/(B149^3)))</f>
        <v/>
      </c>
      <c r="H149">
        <v>5770</v>
      </c>
      <c r="I149">
        <v>0.9318452959848047</v>
      </c>
      <c r="J149">
        <v>7.0000000000000007E-2</v>
      </c>
      <c r="L149">
        <f>IF(AND(B149&gt;=0.8,B149&lt;=1.5),1,IF(AND(B149&gt;=0.5,B149&lt;=2),0.5,0))</f>
        <v>0</v>
      </c>
      <c r="M149">
        <f>IF(AND(C149&gt;=0.5,C149&lt;=2),1,IF(AND(C149&gt;=0.1,C149&lt;=5),0.5,0))</f>
        <v>0</v>
      </c>
      <c r="N149">
        <f>IF(AND(G149&gt;=4,G149&lt;=7),1,IF(AND(G149&gt;=3,G149&lt;=8),0.5,0))</f>
        <v>0</v>
      </c>
      <c r="O149">
        <f>IF(AND(F149&gt;=270,F149&lt;=310),1,IF(AND(F149&gt;=250,F149&lt;=330),0.5,0))</f>
        <v>0</v>
      </c>
      <c r="P149">
        <f>IF(AND(E149&gt;=0.8,E149&lt;=1.5),1,IF(AND(E149&gt;=0.5,E149&lt;=2),0.5,0))</f>
        <v>0</v>
      </c>
      <c r="Q149">
        <f>IF(AND(H149&gt;=5000,H149&lt;=6000),1,IF(AND(H149&gt;=4000,H149&lt;5000),0.5,0))</f>
        <v>1</v>
      </c>
      <c r="R149">
        <f>0.35*AVERAGE(L149:M149:N149)+0.3*O149+0.2*P149+0.15*Q149</f>
        <v>0.15</v>
      </c>
      <c r="S149" t="str">
        <f>LEFT(K149,1)</f>
        <v/>
      </c>
      <c r="T149">
        <f>IF(S149="G",1,0)</f>
        <v>0</v>
      </c>
      <c r="U149">
        <f>IF(S149="K",1,0)</f>
        <v>0</v>
      </c>
      <c r="V149">
        <f>IF(S149="M",1,0)</f>
        <v>0</v>
      </c>
      <c r="W149">
        <f>IF(S149="F",1,0)</f>
        <v>0</v>
      </c>
    </row>
    <row r="150" spans="1:23" x14ac:dyDescent="0.3">
      <c r="A150" t="s">
        <v>633</v>
      </c>
      <c r="C150">
        <v>9.6999999999999993</v>
      </c>
      <c r="D150">
        <v>26.321000000000002</v>
      </c>
      <c r="E150">
        <v>0.17399999999999999</v>
      </c>
      <c r="F150">
        <v>658</v>
      </c>
      <c r="G150" t="str">
        <f>IF(OR(C150="",B150="",B150=0),"",5.51*(C150/(B150^3)))</f>
        <v/>
      </c>
      <c r="H150">
        <v>5770</v>
      </c>
      <c r="I150">
        <v>0.9318452959848047</v>
      </c>
      <c r="J150">
        <v>7.0000000000000007E-2</v>
      </c>
      <c r="L150">
        <f>IF(AND(B150&gt;=0.8,B150&lt;=1.5),1,IF(AND(B150&gt;=0.5,B150&lt;=2),0.5,0))</f>
        <v>0</v>
      </c>
      <c r="M150">
        <f>IF(AND(C150&gt;=0.5,C150&lt;=2),1,IF(AND(C150&gt;=0.1,C150&lt;=5),0.5,0))</f>
        <v>0</v>
      </c>
      <c r="N150">
        <f>IF(AND(G150&gt;=4,G150&lt;=7),1,IF(AND(G150&gt;=3,G150&lt;=8),0.5,0))</f>
        <v>0</v>
      </c>
      <c r="O150">
        <f>IF(AND(F150&gt;=270,F150&lt;=310),1,IF(AND(F150&gt;=250,F150&lt;=330),0.5,0))</f>
        <v>0</v>
      </c>
      <c r="P150">
        <f>IF(AND(E150&gt;=0.8,E150&lt;=1.5),1,IF(AND(E150&gt;=0.5,E150&lt;=2),0.5,0))</f>
        <v>0</v>
      </c>
      <c r="Q150">
        <f>IF(AND(H150&gt;=5000,H150&lt;=6000),1,IF(AND(H150&gt;=4000,H150&lt;5000),0.5,0))</f>
        <v>1</v>
      </c>
      <c r="R150">
        <f>0.35*AVERAGE(L150:M150:N150)+0.3*O150+0.2*P150+0.15*Q150</f>
        <v>0.15</v>
      </c>
      <c r="S150" t="str">
        <f>LEFT(K150,1)</f>
        <v/>
      </c>
      <c r="T150">
        <f>IF(S150="G",1,0)</f>
        <v>0</v>
      </c>
      <c r="U150">
        <f>IF(S150="K",1,0)</f>
        <v>0</v>
      </c>
      <c r="V150">
        <f>IF(S150="M",1,0)</f>
        <v>0</v>
      </c>
      <c r="W150">
        <f>IF(S150="F",1,0)</f>
        <v>0</v>
      </c>
    </row>
    <row r="151" spans="1:23" x14ac:dyDescent="0.3">
      <c r="A151" t="s">
        <v>632</v>
      </c>
      <c r="C151">
        <v>5.6</v>
      </c>
      <c r="D151">
        <v>39.545000000000002</v>
      </c>
      <c r="E151">
        <v>0.22900000000000001</v>
      </c>
      <c r="F151">
        <v>574</v>
      </c>
      <c r="G151" t="str">
        <f>IF(OR(C151="",B151="",B151=0),"",5.51*(C151/(B151^3)))</f>
        <v/>
      </c>
      <c r="H151">
        <v>5770</v>
      </c>
      <c r="I151">
        <v>0.9318452959848047</v>
      </c>
      <c r="J151">
        <v>7.0000000000000007E-2</v>
      </c>
      <c r="L151">
        <f>IF(AND(B151&gt;=0.8,B151&lt;=1.5),1,IF(AND(B151&gt;=0.5,B151&lt;=2),0.5,0))</f>
        <v>0</v>
      </c>
      <c r="M151">
        <f>IF(AND(C151&gt;=0.5,C151&lt;=2),1,IF(AND(C151&gt;=0.1,C151&lt;=5),0.5,0))</f>
        <v>0</v>
      </c>
      <c r="N151">
        <f>IF(AND(G151&gt;=4,G151&lt;=7),1,IF(AND(G151&gt;=3,G151&lt;=8),0.5,0))</f>
        <v>0</v>
      </c>
      <c r="O151">
        <f>IF(AND(F151&gt;=270,F151&lt;=310),1,IF(AND(F151&gt;=250,F151&lt;=330),0.5,0))</f>
        <v>0</v>
      </c>
      <c r="P151">
        <f>IF(AND(E151&gt;=0.8,E151&lt;=1.5),1,IF(AND(E151&gt;=0.5,E151&lt;=2),0.5,0))</f>
        <v>0</v>
      </c>
      <c r="Q151">
        <f>IF(AND(H151&gt;=5000,H151&lt;=6000),1,IF(AND(H151&gt;=4000,H151&lt;5000),0.5,0))</f>
        <v>1</v>
      </c>
      <c r="R151">
        <f>0.35*AVERAGE(L151:M151:N151)+0.3*O151+0.2*P151+0.15*Q151</f>
        <v>0.15</v>
      </c>
      <c r="S151" t="str">
        <f>LEFT(K151,1)</f>
        <v/>
      </c>
      <c r="T151">
        <f>IF(S151="G",1,0)</f>
        <v>0</v>
      </c>
      <c r="U151">
        <f>IF(S151="K",1,0)</f>
        <v>0</v>
      </c>
      <c r="V151">
        <f>IF(S151="M",1,0)</f>
        <v>0</v>
      </c>
      <c r="W151">
        <f>IF(S151="F",1,0)</f>
        <v>0</v>
      </c>
    </row>
    <row r="152" spans="1:23" x14ac:dyDescent="0.3">
      <c r="A152" t="s">
        <v>631</v>
      </c>
      <c r="B152">
        <v>9.19</v>
      </c>
      <c r="C152">
        <v>27.4</v>
      </c>
      <c r="D152">
        <v>7.0646599999999999</v>
      </c>
      <c r="E152">
        <v>6.9599999999999995E-2</v>
      </c>
      <c r="F152">
        <v>868</v>
      </c>
      <c r="G152">
        <f>IF(OR(C152="",B152="",B152=0),"",5.51*(C152/(B152^3)))</f>
        <v>0.194516133156411</v>
      </c>
      <c r="H152">
        <v>5350</v>
      </c>
      <c r="I152">
        <v>0.64120770226610313</v>
      </c>
      <c r="J152">
        <v>0.13900000000000001</v>
      </c>
      <c r="K152" t="s">
        <v>630</v>
      </c>
      <c r="L152">
        <f>IF(AND(B152&gt;=0.8,B152&lt;=1.5),1,IF(AND(B152&gt;=0.5,B152&lt;=2),0.5,0))</f>
        <v>0</v>
      </c>
      <c r="M152">
        <f>IF(AND(C152&gt;=0.5,C152&lt;=2),1,IF(AND(C152&gt;=0.1,C152&lt;=5),0.5,0))</f>
        <v>0</v>
      </c>
      <c r="N152">
        <f>IF(AND(G152&gt;=4,G152&lt;=7),1,IF(AND(G152&gt;=3,G152&lt;=8),0.5,0))</f>
        <v>0</v>
      </c>
      <c r="O152">
        <f>IF(AND(F152&gt;=270,F152&lt;=310),1,IF(AND(F152&gt;=250,F152&lt;=330),0.5,0))</f>
        <v>0</v>
      </c>
      <c r="P152">
        <f>IF(AND(E152&gt;=0.8,E152&lt;=1.5),1,IF(AND(E152&gt;=0.5,E152&lt;=2),0.5,0))</f>
        <v>0</v>
      </c>
      <c r="Q152">
        <f>IF(AND(H152&gt;=5000,H152&lt;=6000),1,IF(AND(H152&gt;=4000,H152&lt;5000),0.5,0))</f>
        <v>1</v>
      </c>
      <c r="R152">
        <f>0.35*AVERAGE(L152:M152:N152)+0.3*O152+0.2*P152+0.15*Q152</f>
        <v>0.15</v>
      </c>
      <c r="S152" t="str">
        <f>LEFT(K152,1)</f>
        <v>G</v>
      </c>
      <c r="T152">
        <f>IF(S152="G",1,0)</f>
        <v>1</v>
      </c>
      <c r="U152">
        <f>IF(S152="K",1,0)</f>
        <v>0</v>
      </c>
      <c r="V152">
        <f>IF(S152="M",1,0)</f>
        <v>0</v>
      </c>
      <c r="W152">
        <f>IF(S152="F",1,0)</f>
        <v>0</v>
      </c>
    </row>
    <row r="153" spans="1:23" x14ac:dyDescent="0.3">
      <c r="A153" t="s">
        <v>629</v>
      </c>
      <c r="B153">
        <v>2.5619999999999998</v>
      </c>
      <c r="D153">
        <v>8.9534876830000005</v>
      </c>
      <c r="E153">
        <v>7.9939999999999997E-2</v>
      </c>
      <c r="G153" t="str">
        <f>IF(OR(C153="",B153="",B153=0),"",5.51*(C153/(B153^3)))</f>
        <v/>
      </c>
      <c r="H153">
        <v>5030</v>
      </c>
      <c r="I153">
        <v>0.33173322801870803</v>
      </c>
      <c r="L153">
        <f>IF(AND(B153&gt;=0.8,B153&lt;=1.5),1,IF(AND(B153&gt;=0.5,B153&lt;=2),0.5,0))</f>
        <v>0</v>
      </c>
      <c r="M153">
        <f>IF(AND(C153&gt;=0.5,C153&lt;=2),1,IF(AND(C153&gt;=0.1,C153&lt;=5),0.5,0))</f>
        <v>0</v>
      </c>
      <c r="N153">
        <f>IF(AND(G153&gt;=4,G153&lt;=7),1,IF(AND(G153&gt;=3,G153&lt;=8),0.5,0))</f>
        <v>0</v>
      </c>
      <c r="O153">
        <f>IF(AND(F153&gt;=270,F153&lt;=310),1,IF(AND(F153&gt;=250,F153&lt;=330),0.5,0))</f>
        <v>0</v>
      </c>
      <c r="P153">
        <f>IF(AND(E153&gt;=0.8,E153&lt;=1.5),1,IF(AND(E153&gt;=0.5,E153&lt;=2),0.5,0))</f>
        <v>0</v>
      </c>
      <c r="Q153">
        <f>IF(AND(H153&gt;=5000,H153&lt;=6000),1,IF(AND(H153&gt;=4000,H153&lt;5000),0.5,0))</f>
        <v>1</v>
      </c>
      <c r="R153">
        <f>0.35*AVERAGE(L153:M153:N153)+0.3*O153+0.2*P153+0.15*Q153</f>
        <v>0.15</v>
      </c>
      <c r="S153" t="str">
        <f>LEFT(K153,1)</f>
        <v/>
      </c>
      <c r="T153">
        <f>IF(S153="G",1,0)</f>
        <v>0</v>
      </c>
      <c r="U153">
        <f>IF(S153="K",1,0)</f>
        <v>0</v>
      </c>
      <c r="V153">
        <f>IF(S153="M",1,0)</f>
        <v>0</v>
      </c>
      <c r="W153">
        <f>IF(S153="F",1,0)</f>
        <v>0</v>
      </c>
    </row>
    <row r="154" spans="1:23" x14ac:dyDescent="0.3">
      <c r="A154" t="s">
        <v>628</v>
      </c>
      <c r="B154">
        <v>3.0720000000000001</v>
      </c>
      <c r="D154">
        <v>9.6867603780000007</v>
      </c>
      <c r="E154">
        <v>8.0798999999999996E-2</v>
      </c>
      <c r="G154" t="str">
        <f>IF(OR(C154="",B154="",B154=0),"",5.51*(C154/(B154^3)))</f>
        <v/>
      </c>
      <c r="H154">
        <v>4738</v>
      </c>
      <c r="I154">
        <v>0.24094382235891482</v>
      </c>
      <c r="L154">
        <f>IF(AND(B154&gt;=0.8,B154&lt;=1.5),1,IF(AND(B154&gt;=0.5,B154&lt;=2),0.5,0))</f>
        <v>0</v>
      </c>
      <c r="M154">
        <f>IF(AND(C154&gt;=0.5,C154&lt;=2),1,IF(AND(C154&gt;=0.1,C154&lt;=5),0.5,0))</f>
        <v>0</v>
      </c>
      <c r="N154">
        <f>IF(AND(G154&gt;=4,G154&lt;=7),1,IF(AND(G154&gt;=3,G154&lt;=8),0.5,0))</f>
        <v>0</v>
      </c>
      <c r="O154">
        <f>IF(AND(F154&gt;=270,F154&lt;=310),1,IF(AND(F154&gt;=250,F154&lt;=330),0.5,0))</f>
        <v>0</v>
      </c>
      <c r="P154">
        <f>IF(AND(E154&gt;=0.8,E154&lt;=1.5),1,IF(AND(E154&gt;=0.5,E154&lt;=2),0.5,0))</f>
        <v>0</v>
      </c>
      <c r="Q154">
        <f>IF(AND(H154&gt;=5000,H154&lt;=6000),1,IF(AND(H154&gt;=4000,H154&lt;5000),0.5,0))</f>
        <v>0.5</v>
      </c>
      <c r="R154">
        <f>0.35*AVERAGE(L154:M154:N154)+0.3*O154+0.2*P154+0.15*Q154</f>
        <v>7.4999999999999997E-2</v>
      </c>
      <c r="S154" t="str">
        <f>LEFT(K154,1)</f>
        <v/>
      </c>
      <c r="T154">
        <f>IF(S154="G",1,0)</f>
        <v>0</v>
      </c>
      <c r="U154">
        <f>IF(S154="K",1,0)</f>
        <v>0</v>
      </c>
      <c r="V154">
        <f>IF(S154="M",1,0)</f>
        <v>0</v>
      </c>
      <c r="W154">
        <f>IF(S154="F",1,0)</f>
        <v>0</v>
      </c>
    </row>
    <row r="155" spans="1:23" x14ac:dyDescent="0.3">
      <c r="A155" t="s">
        <v>627</v>
      </c>
      <c r="B155">
        <v>17.026441680000001</v>
      </c>
      <c r="C155">
        <v>374.71969185</v>
      </c>
      <c r="D155">
        <v>2.103189</v>
      </c>
      <c r="G155">
        <f>IF(OR(C155="",B155="",B155=0),"",5.51*(C155/(B155^3)))</f>
        <v>0.4182986178891373</v>
      </c>
      <c r="H155">
        <v>6054</v>
      </c>
      <c r="I155">
        <v>4.6346261079280042</v>
      </c>
      <c r="J155">
        <v>0.38</v>
      </c>
      <c r="L155">
        <f>IF(AND(B155&gt;=0.8,B155&lt;=1.5),1,IF(AND(B155&gt;=0.5,B155&lt;=2),0.5,0))</f>
        <v>0</v>
      </c>
      <c r="M155">
        <f>IF(AND(C155&gt;=0.5,C155&lt;=2),1,IF(AND(C155&gt;=0.1,C155&lt;=5),0.5,0))</f>
        <v>0</v>
      </c>
      <c r="N155">
        <f>IF(AND(G155&gt;=4,G155&lt;=7),1,IF(AND(G155&gt;=3,G155&lt;=8),0.5,0))</f>
        <v>0</v>
      </c>
      <c r="O155">
        <f>IF(AND(F155&gt;=270,F155&lt;=310),1,IF(AND(F155&gt;=250,F155&lt;=330),0.5,0))</f>
        <v>0</v>
      </c>
      <c r="P155">
        <f>IF(AND(E155&gt;=0.8,E155&lt;=1.5),1,IF(AND(E155&gt;=0.5,E155&lt;=2),0.5,0))</f>
        <v>0</v>
      </c>
      <c r="Q155">
        <f>IF(AND(H155&gt;=5000,H155&lt;=6000),1,IF(AND(H155&gt;=4000,H155&lt;5000),0.5,0))</f>
        <v>0</v>
      </c>
      <c r="R155">
        <f>0.35*AVERAGE(L155:M155:N155)+0.3*O155+0.2*P155+0.15*Q155</f>
        <v>0</v>
      </c>
      <c r="S155" t="str">
        <f>LEFT(K155,1)</f>
        <v/>
      </c>
      <c r="T155">
        <f>IF(S155="G",1,0)</f>
        <v>0</v>
      </c>
      <c r="U155">
        <f>IF(S155="K",1,0)</f>
        <v>0</v>
      </c>
      <c r="V155">
        <f>IF(S155="M",1,0)</f>
        <v>0</v>
      </c>
      <c r="W155">
        <f>IF(S155="F",1,0)</f>
        <v>0</v>
      </c>
    </row>
    <row r="156" spans="1:23" x14ac:dyDescent="0.3">
      <c r="A156" t="s">
        <v>626</v>
      </c>
      <c r="B156">
        <v>2.39</v>
      </c>
      <c r="D156">
        <v>5.7484338030000002</v>
      </c>
      <c r="E156">
        <v>5.6027E-2</v>
      </c>
      <c r="G156" t="str">
        <f>IF(OR(C156="",B156="",B156=0),"",5.51*(C156/(B156^3)))</f>
        <v/>
      </c>
      <c r="H156">
        <v>4534</v>
      </c>
      <c r="I156">
        <v>0.18051533206711745</v>
      </c>
      <c r="L156">
        <f>IF(AND(B156&gt;=0.8,B156&lt;=1.5),1,IF(AND(B156&gt;=0.5,B156&lt;=2),0.5,0))</f>
        <v>0</v>
      </c>
      <c r="M156">
        <f>IF(AND(C156&gt;=0.5,C156&lt;=2),1,IF(AND(C156&gt;=0.1,C156&lt;=5),0.5,0))</f>
        <v>0</v>
      </c>
      <c r="N156">
        <f>IF(AND(G156&gt;=4,G156&lt;=7),1,IF(AND(G156&gt;=3,G156&lt;=8),0.5,0))</f>
        <v>0</v>
      </c>
      <c r="O156">
        <f>IF(AND(F156&gt;=270,F156&lt;=310),1,IF(AND(F156&gt;=250,F156&lt;=330),0.5,0))</f>
        <v>0</v>
      </c>
      <c r="P156">
        <f>IF(AND(E156&gt;=0.8,E156&lt;=1.5),1,IF(AND(E156&gt;=0.5,E156&lt;=2),0.5,0))</f>
        <v>0</v>
      </c>
      <c r="Q156">
        <f>IF(AND(H156&gt;=5000,H156&lt;=6000),1,IF(AND(H156&gt;=4000,H156&lt;5000),0.5,0))</f>
        <v>0.5</v>
      </c>
      <c r="R156">
        <f>0.35*AVERAGE(L156:M156:N156)+0.3*O156+0.2*P156+0.15*Q156</f>
        <v>7.4999999999999997E-2</v>
      </c>
      <c r="S156" t="str">
        <f>LEFT(K156,1)</f>
        <v/>
      </c>
      <c r="T156">
        <f>IF(S156="G",1,0)</f>
        <v>0</v>
      </c>
      <c r="U156">
        <f>IF(S156="K",1,0)</f>
        <v>0</v>
      </c>
      <c r="V156">
        <f>IF(S156="M",1,0)</f>
        <v>0</v>
      </c>
      <c r="W156">
        <f>IF(S156="F",1,0)</f>
        <v>0</v>
      </c>
    </row>
    <row r="157" spans="1:23" x14ac:dyDescent="0.3">
      <c r="A157" t="s">
        <v>625</v>
      </c>
      <c r="B157">
        <v>8.7166451600000006</v>
      </c>
      <c r="C157">
        <v>120</v>
      </c>
      <c r="D157">
        <v>2.3106445999999998</v>
      </c>
      <c r="E157">
        <v>3.4000000000000002E-2</v>
      </c>
      <c r="F157">
        <v>1264.29</v>
      </c>
      <c r="G157">
        <f>IF(OR(C157="",B157="",B157=0),"",5.51*(C157/(B157^3)))</f>
        <v>0.99835441779718803</v>
      </c>
      <c r="H157">
        <v>5394</v>
      </c>
      <c r="I157">
        <v>0.70113170658358914</v>
      </c>
      <c r="J157">
        <v>0.34799999999999998</v>
      </c>
      <c r="L157">
        <f>IF(AND(B157&gt;=0.8,B157&lt;=1.5),1,IF(AND(B157&gt;=0.5,B157&lt;=2),0.5,0))</f>
        <v>0</v>
      </c>
      <c r="M157">
        <f>IF(AND(C157&gt;=0.5,C157&lt;=2),1,IF(AND(C157&gt;=0.1,C157&lt;=5),0.5,0))</f>
        <v>0</v>
      </c>
      <c r="N157">
        <f>IF(AND(G157&gt;=4,G157&lt;=7),1,IF(AND(G157&gt;=3,G157&lt;=8),0.5,0))</f>
        <v>0</v>
      </c>
      <c r="O157">
        <f>IF(AND(F157&gt;=270,F157&lt;=310),1,IF(AND(F157&gt;=250,F157&lt;=330),0.5,0))</f>
        <v>0</v>
      </c>
      <c r="P157">
        <f>IF(AND(E157&gt;=0.8,E157&lt;=1.5),1,IF(AND(E157&gt;=0.5,E157&lt;=2),0.5,0))</f>
        <v>0</v>
      </c>
      <c r="Q157">
        <f>IF(AND(H157&gt;=5000,H157&lt;=6000),1,IF(AND(H157&gt;=4000,H157&lt;5000),0.5,0))</f>
        <v>1</v>
      </c>
      <c r="R157">
        <f>0.35*AVERAGE(L157:M157:N157)+0.3*O157+0.2*P157+0.15*Q157</f>
        <v>0.15</v>
      </c>
      <c r="S157" t="str">
        <f>LEFT(K157,1)</f>
        <v/>
      </c>
      <c r="T157">
        <f>IF(S157="G",1,0)</f>
        <v>0</v>
      </c>
      <c r="U157">
        <f>IF(S157="K",1,0)</f>
        <v>0</v>
      </c>
      <c r="V157">
        <f>IF(S157="M",1,0)</f>
        <v>0</v>
      </c>
      <c r="W157">
        <f>IF(S157="F",1,0)</f>
        <v>0</v>
      </c>
    </row>
    <row r="158" spans="1:23" x14ac:dyDescent="0.3">
      <c r="A158" t="s">
        <v>624</v>
      </c>
      <c r="B158">
        <v>10.5140239</v>
      </c>
      <c r="C158">
        <v>75.960989269999999</v>
      </c>
      <c r="D158">
        <v>3.6714630000000001</v>
      </c>
      <c r="E158">
        <v>4.9880000000000001E-2</v>
      </c>
      <c r="F158">
        <v>1486</v>
      </c>
      <c r="G158">
        <f>IF(OR(C158="",B158="",B158=0),"",5.51*(C158/(B158^3)))</f>
        <v>0.36011012408504922</v>
      </c>
      <c r="H158">
        <v>5710</v>
      </c>
      <c r="I158">
        <v>2.0052581375126546</v>
      </c>
      <c r="J158">
        <v>0.44</v>
      </c>
      <c r="L158">
        <f>IF(AND(B158&gt;=0.8,B158&lt;=1.5),1,IF(AND(B158&gt;=0.5,B158&lt;=2),0.5,0))</f>
        <v>0</v>
      </c>
      <c r="M158">
        <f>IF(AND(C158&gt;=0.5,C158&lt;=2),1,IF(AND(C158&gt;=0.1,C158&lt;=5),0.5,0))</f>
        <v>0</v>
      </c>
      <c r="N158">
        <f>IF(AND(G158&gt;=4,G158&lt;=7),1,IF(AND(G158&gt;=3,G158&lt;=8),0.5,0))</f>
        <v>0</v>
      </c>
      <c r="O158">
        <f>IF(AND(F158&gt;=270,F158&lt;=310),1,IF(AND(F158&gt;=250,F158&lt;=330),0.5,0))</f>
        <v>0</v>
      </c>
      <c r="P158">
        <f>IF(AND(E158&gt;=0.8,E158&lt;=1.5),1,IF(AND(E158&gt;=0.5,E158&lt;=2),0.5,0))</f>
        <v>0</v>
      </c>
      <c r="Q158">
        <f>IF(AND(H158&gt;=5000,H158&lt;=6000),1,IF(AND(H158&gt;=4000,H158&lt;5000),0.5,0))</f>
        <v>1</v>
      </c>
      <c r="R158">
        <f>0.35*AVERAGE(L158:M158:N158)+0.3*O158+0.2*P158+0.15*Q158</f>
        <v>0.15</v>
      </c>
      <c r="S158" t="str">
        <f>LEFT(K158,1)</f>
        <v/>
      </c>
      <c r="T158">
        <f>IF(S158="G",1,0)</f>
        <v>0</v>
      </c>
      <c r="U158">
        <f>IF(S158="K",1,0)</f>
        <v>0</v>
      </c>
      <c r="V158">
        <f>IF(S158="M",1,0)</f>
        <v>0</v>
      </c>
      <c r="W158">
        <f>IF(S158="F",1,0)</f>
        <v>0</v>
      </c>
    </row>
    <row r="159" spans="1:23" x14ac:dyDescent="0.3">
      <c r="A159" t="s">
        <v>623</v>
      </c>
      <c r="B159">
        <v>2.415</v>
      </c>
      <c r="C159">
        <v>6.28</v>
      </c>
      <c r="D159">
        <v>2.4919863000000002</v>
      </c>
      <c r="E159">
        <v>2.87E-2</v>
      </c>
      <c r="F159">
        <v>703</v>
      </c>
      <c r="G159">
        <f>IF(OR(C159="",B159="",B159=0),"",5.51*(C159/(B159^3)))</f>
        <v>2.4567436224595181</v>
      </c>
      <c r="H159">
        <v>3476</v>
      </c>
      <c r="I159">
        <v>3.3801528981714041E-2</v>
      </c>
      <c r="J159">
        <v>0.05</v>
      </c>
      <c r="K159" t="s">
        <v>622</v>
      </c>
      <c r="L159">
        <f>IF(AND(B159&gt;=0.8,B159&lt;=1.5),1,IF(AND(B159&gt;=0.5,B159&lt;=2),0.5,0))</f>
        <v>0</v>
      </c>
      <c r="M159">
        <f>IF(AND(C159&gt;=0.5,C159&lt;=2),1,IF(AND(C159&gt;=0.1,C159&lt;=5),0.5,0))</f>
        <v>0</v>
      </c>
      <c r="N159">
        <f>IF(AND(G159&gt;=4,G159&lt;=7),1,IF(AND(G159&gt;=3,G159&lt;=8),0.5,0))</f>
        <v>0</v>
      </c>
      <c r="O159">
        <f>IF(AND(F159&gt;=270,F159&lt;=310),1,IF(AND(F159&gt;=250,F159&lt;=330),0.5,0))</f>
        <v>0</v>
      </c>
      <c r="P159">
        <f>IF(AND(E159&gt;=0.8,E159&lt;=1.5),1,IF(AND(E159&gt;=0.5,E159&lt;=2),0.5,0))</f>
        <v>0</v>
      </c>
      <c r="Q159">
        <f>IF(AND(H159&gt;=5000,H159&lt;=6000),1,IF(AND(H159&gt;=4000,H159&lt;5000),0.5,0))</f>
        <v>0</v>
      </c>
      <c r="R159">
        <f>0.35*AVERAGE(L159:M159:N159)+0.3*O159+0.2*P159+0.15*Q159</f>
        <v>0</v>
      </c>
      <c r="S159" t="str">
        <f>LEFT(K159,1)</f>
        <v>M</v>
      </c>
      <c r="T159">
        <f>IF(S159="G",1,0)</f>
        <v>0</v>
      </c>
      <c r="U159">
        <f>IF(S159="K",1,0)</f>
        <v>0</v>
      </c>
      <c r="V159">
        <f>IF(S159="M",1,0)</f>
        <v>1</v>
      </c>
      <c r="W159">
        <f>IF(S159="F",1,0)</f>
        <v>0</v>
      </c>
    </row>
    <row r="160" spans="1:23" x14ac:dyDescent="0.3">
      <c r="A160" t="s">
        <v>621</v>
      </c>
      <c r="B160">
        <v>2.9180000000000001</v>
      </c>
      <c r="C160">
        <v>7.39</v>
      </c>
      <c r="D160">
        <v>25.502672</v>
      </c>
      <c r="E160">
        <v>0.16320000000000001</v>
      </c>
      <c r="F160">
        <v>743.6</v>
      </c>
      <c r="G160">
        <f>IF(OR(C160="",B160="",B160=0),"",5.51*(C160/(B160^3)))</f>
        <v>1.6388536570464514</v>
      </c>
      <c r="H160">
        <v>5737</v>
      </c>
      <c r="I160">
        <v>1.3510046993740852</v>
      </c>
      <c r="J160">
        <v>-0.39</v>
      </c>
      <c r="K160" t="s">
        <v>126</v>
      </c>
      <c r="L160">
        <f>IF(AND(B160&gt;=0.8,B160&lt;=1.5),1,IF(AND(B160&gt;=0.5,B160&lt;=2),0.5,0))</f>
        <v>0</v>
      </c>
      <c r="M160">
        <f>IF(AND(C160&gt;=0.5,C160&lt;=2),1,IF(AND(C160&gt;=0.1,C160&lt;=5),0.5,0))</f>
        <v>0</v>
      </c>
      <c r="N160">
        <f>IF(AND(G160&gt;=4,G160&lt;=7),1,IF(AND(G160&gt;=3,G160&lt;=8),0.5,0))</f>
        <v>0</v>
      </c>
      <c r="O160">
        <f>IF(AND(F160&gt;=270,F160&lt;=310),1,IF(AND(F160&gt;=250,F160&lt;=330),0.5,0))</f>
        <v>0</v>
      </c>
      <c r="P160">
        <f>IF(AND(E160&gt;=0.8,E160&lt;=1.5),1,IF(AND(E160&gt;=0.5,E160&lt;=2),0.5,0))</f>
        <v>0</v>
      </c>
      <c r="Q160">
        <f>IF(AND(H160&gt;=5000,H160&lt;=6000),1,IF(AND(H160&gt;=4000,H160&lt;5000),0.5,0))</f>
        <v>1</v>
      </c>
      <c r="R160">
        <f>0.35*AVERAGE(L160:M160:N160)+0.3*O160+0.2*P160+0.15*Q160</f>
        <v>0.15</v>
      </c>
      <c r="S160" t="str">
        <f>LEFT(K160,1)</f>
        <v>G</v>
      </c>
      <c r="T160">
        <f>IF(S160="G",1,0)</f>
        <v>1</v>
      </c>
      <c r="U160">
        <f>IF(S160="K",1,0)</f>
        <v>0</v>
      </c>
      <c r="V160">
        <f>IF(S160="M",1,0)</f>
        <v>0</v>
      </c>
      <c r="W160">
        <f>IF(S160="F",1,0)</f>
        <v>0</v>
      </c>
    </row>
    <row r="161" spans="1:23" x14ac:dyDescent="0.3">
      <c r="A161" t="s">
        <v>620</v>
      </c>
      <c r="B161">
        <v>2.72</v>
      </c>
      <c r="D161">
        <v>5.07803</v>
      </c>
      <c r="E161">
        <v>3.9199999999999999E-2</v>
      </c>
      <c r="F161">
        <v>471</v>
      </c>
      <c r="G161" t="str">
        <f>IF(OR(C161="",B161="",B161=0),"",5.51*(C161/(B161^3)))</f>
        <v/>
      </c>
      <c r="H161">
        <v>3403</v>
      </c>
      <c r="I161">
        <v>1.3422412452775243E-2</v>
      </c>
      <c r="K161" t="s">
        <v>521</v>
      </c>
      <c r="L161">
        <f>IF(AND(B161&gt;=0.8,B161&lt;=1.5),1,IF(AND(B161&gt;=0.5,B161&lt;=2),0.5,0))</f>
        <v>0</v>
      </c>
      <c r="M161">
        <f>IF(AND(C161&gt;=0.5,C161&lt;=2),1,IF(AND(C161&gt;=0.1,C161&lt;=5),0.5,0))</f>
        <v>0</v>
      </c>
      <c r="N161">
        <f>IF(AND(G161&gt;=4,G161&lt;=7),1,IF(AND(G161&gt;=3,G161&lt;=8),0.5,0))</f>
        <v>0</v>
      </c>
      <c r="O161">
        <f>IF(AND(F161&gt;=270,F161&lt;=310),1,IF(AND(F161&gt;=250,F161&lt;=330),0.5,0))</f>
        <v>0</v>
      </c>
      <c r="P161">
        <f>IF(AND(E161&gt;=0.8,E161&lt;=1.5),1,IF(AND(E161&gt;=0.5,E161&lt;=2),0.5,0))</f>
        <v>0</v>
      </c>
      <c r="Q161">
        <f>IF(AND(H161&gt;=5000,H161&lt;=6000),1,IF(AND(H161&gt;=4000,H161&lt;5000),0.5,0))</f>
        <v>0</v>
      </c>
      <c r="R161">
        <f>0.35*AVERAGE(L161:M161:N161)+0.3*O161+0.2*P161+0.15*Q161</f>
        <v>0</v>
      </c>
      <c r="S161" t="str">
        <f>LEFT(K161,1)</f>
        <v>M</v>
      </c>
      <c r="T161">
        <f>IF(S161="G",1,0)</f>
        <v>0</v>
      </c>
      <c r="U161">
        <f>IF(S161="K",1,0)</f>
        <v>0</v>
      </c>
      <c r="V161">
        <f>IF(S161="M",1,0)</f>
        <v>1</v>
      </c>
      <c r="W161">
        <f>IF(S161="F",1,0)</f>
        <v>0</v>
      </c>
    </row>
    <row r="162" spans="1:23" x14ac:dyDescent="0.3">
      <c r="A162" t="s">
        <v>619</v>
      </c>
      <c r="B162">
        <v>2.91</v>
      </c>
      <c r="C162">
        <v>1112.3994244999999</v>
      </c>
      <c r="D162">
        <v>91.682779999999994</v>
      </c>
      <c r="E162">
        <v>0.38700000000000001</v>
      </c>
      <c r="F162">
        <v>440</v>
      </c>
      <c r="G162">
        <f>IF(OR(C162="",B162="",B162=0),"",5.51*(C162/(B162^3)))</f>
        <v>248.73298821743415</v>
      </c>
      <c r="H162">
        <v>5592</v>
      </c>
      <c r="I162">
        <v>0.93255795582145862</v>
      </c>
      <c r="J162">
        <v>0.06</v>
      </c>
      <c r="L162">
        <f>IF(AND(B162&gt;=0.8,B162&lt;=1.5),1,IF(AND(B162&gt;=0.5,B162&lt;=2),0.5,0))</f>
        <v>0</v>
      </c>
      <c r="M162">
        <f>IF(AND(C162&gt;=0.5,C162&lt;=2),1,IF(AND(C162&gt;=0.1,C162&lt;=5),0.5,0))</f>
        <v>0</v>
      </c>
      <c r="N162">
        <f>IF(AND(G162&gt;=4,G162&lt;=7),1,IF(AND(G162&gt;=3,G162&lt;=8),0.5,0))</f>
        <v>0</v>
      </c>
      <c r="O162">
        <f>IF(AND(F162&gt;=270,F162&lt;=310),1,IF(AND(F162&gt;=250,F162&lt;=330),0.5,0))</f>
        <v>0</v>
      </c>
      <c r="P162">
        <f>IF(AND(E162&gt;=0.8,E162&lt;=1.5),1,IF(AND(E162&gt;=0.5,E162&lt;=2),0.5,0))</f>
        <v>0</v>
      </c>
      <c r="Q162">
        <f>IF(AND(H162&gt;=5000,H162&lt;=6000),1,IF(AND(H162&gt;=4000,H162&lt;5000),0.5,0))</f>
        <v>1</v>
      </c>
      <c r="R162">
        <f>0.35*AVERAGE(L162:M162:N162)+0.3*O162+0.2*P162+0.15*Q162</f>
        <v>0.15</v>
      </c>
      <c r="S162" t="str">
        <f>LEFT(K162,1)</f>
        <v/>
      </c>
      <c r="T162">
        <f>IF(S162="G",1,0)</f>
        <v>0</v>
      </c>
      <c r="U162">
        <f>IF(S162="K",1,0)</f>
        <v>0</v>
      </c>
      <c r="V162">
        <f>IF(S162="M",1,0)</f>
        <v>0</v>
      </c>
      <c r="W162">
        <f>IF(S162="F",1,0)</f>
        <v>0</v>
      </c>
    </row>
    <row r="163" spans="1:23" x14ac:dyDescent="0.3">
      <c r="A163" t="s">
        <v>618</v>
      </c>
      <c r="B163">
        <v>2.1040000000000001</v>
      </c>
      <c r="D163">
        <v>4.1782744999999997</v>
      </c>
      <c r="E163">
        <v>3.5499999999999997E-2</v>
      </c>
      <c r="F163">
        <v>541</v>
      </c>
      <c r="G163" t="str">
        <f>IF(OR(C163="",B163="",B163=0),"",5.51*(C163/(B163^3)))</f>
        <v/>
      </c>
      <c r="H163">
        <v>3326</v>
      </c>
      <c r="I163">
        <v>1.7920146663258838E-2</v>
      </c>
      <c r="L163">
        <f>IF(AND(B163&gt;=0.8,B163&lt;=1.5),1,IF(AND(B163&gt;=0.5,B163&lt;=2),0.5,0))</f>
        <v>0</v>
      </c>
      <c r="M163">
        <f>IF(AND(C163&gt;=0.5,C163&lt;=2),1,IF(AND(C163&gt;=0.1,C163&lt;=5),0.5,0))</f>
        <v>0</v>
      </c>
      <c r="N163">
        <f>IF(AND(G163&gt;=4,G163&lt;=7),1,IF(AND(G163&gt;=3,G163&lt;=8),0.5,0))</f>
        <v>0</v>
      </c>
      <c r="O163">
        <f>IF(AND(F163&gt;=270,F163&lt;=310),1,IF(AND(F163&gt;=250,F163&lt;=330),0.5,0))</f>
        <v>0</v>
      </c>
      <c r="P163">
        <f>IF(AND(E163&gt;=0.8,E163&lt;=1.5),1,IF(AND(E163&gt;=0.5,E163&lt;=2),0.5,0))</f>
        <v>0</v>
      </c>
      <c r="Q163">
        <f>IF(AND(H163&gt;=5000,H163&lt;=6000),1,IF(AND(H163&gt;=4000,H163&lt;5000),0.5,0))</f>
        <v>0</v>
      </c>
      <c r="R163">
        <f>0.35*AVERAGE(L163:M163:N163)+0.3*O163+0.2*P163+0.15*Q163</f>
        <v>0</v>
      </c>
      <c r="S163" t="str">
        <f>LEFT(K163,1)</f>
        <v/>
      </c>
      <c r="T163">
        <f>IF(S163="G",1,0)</f>
        <v>0</v>
      </c>
      <c r="U163">
        <f>IF(S163="K",1,0)</f>
        <v>0</v>
      </c>
      <c r="V163">
        <f>IF(S163="M",1,0)</f>
        <v>0</v>
      </c>
      <c r="W163">
        <f>IF(S163="F",1,0)</f>
        <v>0</v>
      </c>
    </row>
    <row r="164" spans="1:23" x14ac:dyDescent="0.3">
      <c r="A164" t="s">
        <v>617</v>
      </c>
      <c r="B164">
        <v>2.8839999999999999</v>
      </c>
      <c r="D164">
        <v>17.945466</v>
      </c>
      <c r="G164" t="str">
        <f>IF(OR(C164="",B164="",B164=0),"",5.51*(C164/(B164^3)))</f>
        <v/>
      </c>
      <c r="H164">
        <v>3326</v>
      </c>
      <c r="I164">
        <v>1.7920146663258838E-2</v>
      </c>
      <c r="L164">
        <f>IF(AND(B164&gt;=0.8,B164&lt;=1.5),1,IF(AND(B164&gt;=0.5,B164&lt;=2),0.5,0))</f>
        <v>0</v>
      </c>
      <c r="M164">
        <f>IF(AND(C164&gt;=0.5,C164&lt;=2),1,IF(AND(C164&gt;=0.1,C164&lt;=5),0.5,0))</f>
        <v>0</v>
      </c>
      <c r="N164">
        <f>IF(AND(G164&gt;=4,G164&lt;=7),1,IF(AND(G164&gt;=3,G164&lt;=8),0.5,0))</f>
        <v>0</v>
      </c>
      <c r="O164">
        <f>IF(AND(F164&gt;=270,F164&lt;=310),1,IF(AND(F164&gt;=250,F164&lt;=330),0.5,0))</f>
        <v>0</v>
      </c>
      <c r="P164">
        <f>IF(AND(E164&gt;=0.8,E164&lt;=1.5),1,IF(AND(E164&gt;=0.5,E164&lt;=2),0.5,0))</f>
        <v>0</v>
      </c>
      <c r="Q164">
        <f>IF(AND(H164&gt;=5000,H164&lt;=6000),1,IF(AND(H164&gt;=4000,H164&lt;5000),0.5,0))</f>
        <v>0</v>
      </c>
      <c r="R164">
        <f>0.35*AVERAGE(L164:M164:N164)+0.3*O164+0.2*P164+0.15*Q164</f>
        <v>0</v>
      </c>
      <c r="S164" t="str">
        <f>LEFT(K164,1)</f>
        <v/>
      </c>
      <c r="T164">
        <f>IF(S164="G",1,0)</f>
        <v>0</v>
      </c>
      <c r="U164">
        <f>IF(S164="K",1,0)</f>
        <v>0</v>
      </c>
      <c r="V164">
        <f>IF(S164="M",1,0)</f>
        <v>0</v>
      </c>
      <c r="W164">
        <f>IF(S164="F",1,0)</f>
        <v>0</v>
      </c>
    </row>
    <row r="165" spans="1:23" x14ac:dyDescent="0.3">
      <c r="A165" t="s">
        <v>616</v>
      </c>
      <c r="B165">
        <v>9.5724695200000003</v>
      </c>
      <c r="D165">
        <v>27.363969999999998</v>
      </c>
      <c r="E165">
        <v>8.8599999999999998E-2</v>
      </c>
      <c r="G165" t="str">
        <f>IF(OR(C165="",B165="",B165=0),"",5.51*(C165/(B165^3)))</f>
        <v/>
      </c>
      <c r="H165">
        <v>3072</v>
      </c>
      <c r="I165">
        <v>2.5058250671924201E-2</v>
      </c>
      <c r="K165" t="s">
        <v>615</v>
      </c>
      <c r="L165">
        <f>IF(AND(B165&gt;=0.8,B165&lt;=1.5),1,IF(AND(B165&gt;=0.5,B165&lt;=2),0.5,0))</f>
        <v>0</v>
      </c>
      <c r="M165">
        <f>IF(AND(C165&gt;=0.5,C165&lt;=2),1,IF(AND(C165&gt;=0.1,C165&lt;=5),0.5,0))</f>
        <v>0</v>
      </c>
      <c r="N165">
        <f>IF(AND(G165&gt;=4,G165&lt;=7),1,IF(AND(G165&gt;=3,G165&lt;=8),0.5,0))</f>
        <v>0</v>
      </c>
      <c r="O165">
        <f>IF(AND(F165&gt;=270,F165&lt;=310),1,IF(AND(F165&gt;=250,F165&lt;=330),0.5,0))</f>
        <v>0</v>
      </c>
      <c r="P165">
        <f>IF(AND(E165&gt;=0.8,E165&lt;=1.5),1,IF(AND(E165&gt;=0.5,E165&lt;=2),0.5,0))</f>
        <v>0</v>
      </c>
      <c r="Q165">
        <f>IF(AND(H165&gt;=5000,H165&lt;=6000),1,IF(AND(H165&gt;=4000,H165&lt;5000),0.5,0))</f>
        <v>0</v>
      </c>
      <c r="R165">
        <f>0.35*AVERAGE(L165:M165:N165)+0.3*O165+0.2*P165+0.15*Q165</f>
        <v>0</v>
      </c>
      <c r="S165" t="str">
        <f>LEFT(K165,1)</f>
        <v>M</v>
      </c>
      <c r="T165">
        <f>IF(S165="G",1,0)</f>
        <v>0</v>
      </c>
      <c r="U165">
        <f>IF(S165="K",1,0)</f>
        <v>0</v>
      </c>
      <c r="V165">
        <f>IF(S165="M",1,0)</f>
        <v>1</v>
      </c>
      <c r="W165">
        <f>IF(S165="F",1,0)</f>
        <v>0</v>
      </c>
    </row>
    <row r="166" spans="1:23" x14ac:dyDescent="0.3">
      <c r="A166" t="s">
        <v>614</v>
      </c>
      <c r="B166">
        <v>3.65</v>
      </c>
      <c r="C166">
        <v>15.4</v>
      </c>
      <c r="D166">
        <v>24.245585999999999</v>
      </c>
      <c r="E166">
        <v>0.1288</v>
      </c>
      <c r="F166">
        <v>329.6</v>
      </c>
      <c r="G166">
        <f>IF(OR(C166="",B166="",B166=0),"",5.51*(C166/(B166^3)))</f>
        <v>1.7449931493996407</v>
      </c>
      <c r="H166">
        <v>3553</v>
      </c>
      <c r="I166">
        <v>3.2395492393428933E-2</v>
      </c>
      <c r="J166">
        <v>4.1000000000000002E-2</v>
      </c>
      <c r="K166" t="s">
        <v>521</v>
      </c>
      <c r="L166">
        <f>IF(AND(B166&gt;=0.8,B166&lt;=1.5),1,IF(AND(B166&gt;=0.5,B166&lt;=2),0.5,0))</f>
        <v>0</v>
      </c>
      <c r="M166">
        <f>IF(AND(C166&gt;=0.5,C166&lt;=2),1,IF(AND(C166&gt;=0.1,C166&lt;=5),0.5,0))</f>
        <v>0</v>
      </c>
      <c r="N166">
        <f>IF(AND(G166&gt;=4,G166&lt;=7),1,IF(AND(G166&gt;=3,G166&lt;=8),0.5,0))</f>
        <v>0</v>
      </c>
      <c r="O166">
        <f>IF(AND(F166&gt;=270,F166&lt;=310),1,IF(AND(F166&gt;=250,F166&lt;=330),0.5,0))</f>
        <v>0.5</v>
      </c>
      <c r="P166">
        <f>IF(AND(E166&gt;=0.8,E166&lt;=1.5),1,IF(AND(E166&gt;=0.5,E166&lt;=2),0.5,0))</f>
        <v>0</v>
      </c>
      <c r="Q166">
        <f>IF(AND(H166&gt;=5000,H166&lt;=6000),1,IF(AND(H166&gt;=4000,H166&lt;5000),0.5,0))</f>
        <v>0</v>
      </c>
      <c r="R166">
        <f>0.35*AVERAGE(L166:M166:N166)+0.3*O166+0.2*P166+0.15*Q166</f>
        <v>0.15</v>
      </c>
      <c r="S166" t="str">
        <f>LEFT(K166,1)</f>
        <v>M</v>
      </c>
      <c r="T166">
        <f>IF(S166="G",1,0)</f>
        <v>0</v>
      </c>
      <c r="U166">
        <f>IF(S166="K",1,0)</f>
        <v>0</v>
      </c>
      <c r="V166">
        <f>IF(S166="M",1,0)</f>
        <v>1</v>
      </c>
      <c r="W166">
        <f>IF(S166="F",1,0)</f>
        <v>0</v>
      </c>
    </row>
    <row r="167" spans="1:23" x14ac:dyDescent="0.3">
      <c r="A167" t="s">
        <v>613</v>
      </c>
      <c r="B167">
        <v>1.69</v>
      </c>
      <c r="C167">
        <v>6.69</v>
      </c>
      <c r="D167">
        <v>3.4447139999999998</v>
      </c>
      <c r="G167">
        <f>IF(OR(C167="",B167="",B167=0),"",5.51*(C167/(B167^3)))</f>
        <v>7.6369087734774688</v>
      </c>
      <c r="H167">
        <v>3997</v>
      </c>
      <c r="I167">
        <v>8.7742042732898651E-2</v>
      </c>
      <c r="J167">
        <v>0.33</v>
      </c>
      <c r="K167" t="s">
        <v>161</v>
      </c>
      <c r="L167">
        <f>IF(AND(B167&gt;=0.8,B167&lt;=1.5),1,IF(AND(B167&gt;=0.5,B167&lt;=2),0.5,0))</f>
        <v>0.5</v>
      </c>
      <c r="M167">
        <f>IF(AND(C167&gt;=0.5,C167&lt;=2),1,IF(AND(C167&gt;=0.1,C167&lt;=5),0.5,0))</f>
        <v>0</v>
      </c>
      <c r="N167">
        <f>IF(AND(G167&gt;=4,G167&lt;=7),1,IF(AND(G167&gt;=3,G167&lt;=8),0.5,0))</f>
        <v>0.5</v>
      </c>
      <c r="O167">
        <f>IF(AND(F167&gt;=270,F167&lt;=310),1,IF(AND(F167&gt;=250,F167&lt;=330),0.5,0))</f>
        <v>0</v>
      </c>
      <c r="P167">
        <f>IF(AND(E167&gt;=0.8,E167&lt;=1.5),1,IF(AND(E167&gt;=0.5,E167&lt;=2),0.5,0))</f>
        <v>0</v>
      </c>
      <c r="Q167">
        <f>IF(AND(H167&gt;=5000,H167&lt;=6000),1,IF(AND(H167&gt;=4000,H167&lt;5000),0.5,0))</f>
        <v>0</v>
      </c>
      <c r="R167">
        <f>0.35*AVERAGE(L167:M167:N167)+0.3*O167+0.2*P167+0.15*Q167</f>
        <v>0.11666666666666665</v>
      </c>
      <c r="S167" t="str">
        <f>LEFT(K167,1)</f>
        <v>M</v>
      </c>
      <c r="T167">
        <f>IF(S167="G",1,0)</f>
        <v>0</v>
      </c>
      <c r="U167">
        <f>IF(S167="K",1,0)</f>
        <v>0</v>
      </c>
      <c r="V167">
        <f>IF(S167="M",1,0)</f>
        <v>1</v>
      </c>
      <c r="W167">
        <f>IF(S167="F",1,0)</f>
        <v>0</v>
      </c>
    </row>
    <row r="168" spans="1:23" x14ac:dyDescent="0.3">
      <c r="A168" t="s">
        <v>612</v>
      </c>
      <c r="B168">
        <v>1.21</v>
      </c>
      <c r="C168">
        <v>3.76</v>
      </c>
      <c r="D168">
        <v>0.76459699999999997</v>
      </c>
      <c r="E168">
        <v>1.3899999999999999E-2</v>
      </c>
      <c r="F168">
        <v>1133</v>
      </c>
      <c r="G168">
        <f>IF(OR(C168="",B168="",B168=0),"",5.51*(C168/(B168^3)))</f>
        <v>11.694545093282139</v>
      </c>
      <c r="H168">
        <v>4089</v>
      </c>
      <c r="I168">
        <v>8.4375095871987382E-2</v>
      </c>
      <c r="J168">
        <v>0.31</v>
      </c>
      <c r="K168" t="s">
        <v>610</v>
      </c>
      <c r="L168">
        <f>IF(AND(B168&gt;=0.8,B168&lt;=1.5),1,IF(AND(B168&gt;=0.5,B168&lt;=2),0.5,0))</f>
        <v>1</v>
      </c>
      <c r="M168">
        <f>IF(AND(C168&gt;=0.5,C168&lt;=2),1,IF(AND(C168&gt;=0.1,C168&lt;=5),0.5,0))</f>
        <v>0.5</v>
      </c>
      <c r="N168">
        <f>IF(AND(G168&gt;=4,G168&lt;=7),1,IF(AND(G168&gt;=3,G168&lt;=8),0.5,0))</f>
        <v>0</v>
      </c>
      <c r="O168">
        <f>IF(AND(F168&gt;=270,F168&lt;=310),1,IF(AND(F168&gt;=250,F168&lt;=330),0.5,0))</f>
        <v>0</v>
      </c>
      <c r="P168">
        <f>IF(AND(E168&gt;=0.8,E168&lt;=1.5),1,IF(AND(E168&gt;=0.5,E168&lt;=2),0.5,0))</f>
        <v>0</v>
      </c>
      <c r="Q168">
        <f>IF(AND(H168&gt;=5000,H168&lt;=6000),1,IF(AND(H168&gt;=4000,H168&lt;5000),0.5,0))</f>
        <v>0.5</v>
      </c>
      <c r="R168">
        <f>0.35*AVERAGE(L168:M168:N168)+0.3*O168+0.2*P168+0.15*Q168</f>
        <v>0.25</v>
      </c>
      <c r="S168" t="str">
        <f>LEFT(K168,1)</f>
        <v>K</v>
      </c>
      <c r="T168">
        <f>IF(S168="G",1,0)</f>
        <v>0</v>
      </c>
      <c r="U168">
        <f>IF(S168="K",1,0)</f>
        <v>1</v>
      </c>
      <c r="V168">
        <f>IF(S168="M",1,0)</f>
        <v>0</v>
      </c>
      <c r="W168">
        <f>IF(S168="F",1,0)</f>
        <v>0</v>
      </c>
    </row>
    <row r="169" spans="1:23" x14ac:dyDescent="0.3">
      <c r="A169" t="s">
        <v>611</v>
      </c>
      <c r="B169">
        <v>2.11</v>
      </c>
      <c r="C169">
        <v>8.32</v>
      </c>
      <c r="D169">
        <v>3.2947359999999999</v>
      </c>
      <c r="E169">
        <v>3.6999999999999998E-2</v>
      </c>
      <c r="F169">
        <v>695</v>
      </c>
      <c r="G169">
        <f>IF(OR(C169="",B169="",B169=0),"",5.51*(C169/(B169^3)))</f>
        <v>4.8800869412389769</v>
      </c>
      <c r="H169">
        <v>4089</v>
      </c>
      <c r="I169">
        <v>8.4375095871987382E-2</v>
      </c>
      <c r="J169">
        <v>0.31</v>
      </c>
      <c r="K169" t="s">
        <v>610</v>
      </c>
      <c r="L169">
        <f>IF(AND(B169&gt;=0.8,B169&lt;=1.5),1,IF(AND(B169&gt;=0.5,B169&lt;=2),0.5,0))</f>
        <v>0</v>
      </c>
      <c r="M169">
        <f>IF(AND(C169&gt;=0.5,C169&lt;=2),1,IF(AND(C169&gt;=0.1,C169&lt;=5),0.5,0))</f>
        <v>0</v>
      </c>
      <c r="N169">
        <f>IF(AND(G169&gt;=4,G169&lt;=7),1,IF(AND(G169&gt;=3,G169&lt;=8),0.5,0))</f>
        <v>1</v>
      </c>
      <c r="O169">
        <f>IF(AND(F169&gt;=270,F169&lt;=310),1,IF(AND(F169&gt;=250,F169&lt;=330),0.5,0))</f>
        <v>0</v>
      </c>
      <c r="P169">
        <f>IF(AND(E169&gt;=0.8,E169&lt;=1.5),1,IF(AND(E169&gt;=0.5,E169&lt;=2),0.5,0))</f>
        <v>0</v>
      </c>
      <c r="Q169">
        <f>IF(AND(H169&gt;=5000,H169&lt;=6000),1,IF(AND(H169&gt;=4000,H169&lt;5000),0.5,0))</f>
        <v>0.5</v>
      </c>
      <c r="R169">
        <f>0.35*AVERAGE(L169:M169:N169)+0.3*O169+0.2*P169+0.15*Q169</f>
        <v>0.19166666666666665</v>
      </c>
      <c r="S169" t="str">
        <f>LEFT(K169,1)</f>
        <v>K</v>
      </c>
      <c r="T169">
        <f>IF(S169="G",1,0)</f>
        <v>0</v>
      </c>
      <c r="U169">
        <f>IF(S169="K",1,0)</f>
        <v>1</v>
      </c>
      <c r="V169">
        <f>IF(S169="M",1,0)</f>
        <v>0</v>
      </c>
      <c r="W169">
        <f>IF(S169="F",1,0)</f>
        <v>0</v>
      </c>
    </row>
    <row r="170" spans="1:23" x14ac:dyDescent="0.3">
      <c r="A170" t="s">
        <v>609</v>
      </c>
      <c r="B170">
        <v>2.4670000000000001</v>
      </c>
      <c r="D170">
        <v>6.4003164830000001</v>
      </c>
      <c r="E170">
        <v>6.0693999999999998E-2</v>
      </c>
      <c r="G170" t="str">
        <f>IF(OR(C170="",B170="",B170=0),"",5.51*(C170/(B170^3)))</f>
        <v/>
      </c>
      <c r="H170">
        <v>4599</v>
      </c>
      <c r="I170">
        <v>0.20864789986593865</v>
      </c>
      <c r="L170">
        <f>IF(AND(B170&gt;=0.8,B170&lt;=1.5),1,IF(AND(B170&gt;=0.5,B170&lt;=2),0.5,0))</f>
        <v>0</v>
      </c>
      <c r="M170">
        <f>IF(AND(C170&gt;=0.5,C170&lt;=2),1,IF(AND(C170&gt;=0.1,C170&lt;=5),0.5,0))</f>
        <v>0</v>
      </c>
      <c r="N170">
        <f>IF(AND(G170&gt;=4,G170&lt;=7),1,IF(AND(G170&gt;=3,G170&lt;=8),0.5,0))</f>
        <v>0</v>
      </c>
      <c r="O170">
        <f>IF(AND(F170&gt;=270,F170&lt;=310),1,IF(AND(F170&gt;=250,F170&lt;=330),0.5,0))</f>
        <v>0</v>
      </c>
      <c r="P170">
        <f>IF(AND(E170&gt;=0.8,E170&lt;=1.5),1,IF(AND(E170&gt;=0.5,E170&lt;=2),0.5,0))</f>
        <v>0</v>
      </c>
      <c r="Q170">
        <f>IF(AND(H170&gt;=5000,H170&lt;=6000),1,IF(AND(H170&gt;=4000,H170&lt;5000),0.5,0))</f>
        <v>0.5</v>
      </c>
      <c r="R170">
        <f>0.35*AVERAGE(L170:M170:N170)+0.3*O170+0.2*P170+0.15*Q170</f>
        <v>7.4999999999999997E-2</v>
      </c>
      <c r="S170" t="str">
        <f>LEFT(K170,1)</f>
        <v/>
      </c>
      <c r="T170">
        <f>IF(S170="G",1,0)</f>
        <v>0</v>
      </c>
      <c r="U170">
        <f>IF(S170="K",1,0)</f>
        <v>0</v>
      </c>
      <c r="V170">
        <f>IF(S170="M",1,0)</f>
        <v>0</v>
      </c>
      <c r="W170">
        <f>IF(S170="F",1,0)</f>
        <v>0</v>
      </c>
    </row>
    <row r="171" spans="1:23" x14ac:dyDescent="0.3">
      <c r="A171" t="s">
        <v>608</v>
      </c>
      <c r="B171">
        <v>3.01</v>
      </c>
      <c r="C171">
        <v>8.1</v>
      </c>
      <c r="D171">
        <v>4.3074399999999997</v>
      </c>
      <c r="E171">
        <v>4.9000000000000002E-2</v>
      </c>
      <c r="F171">
        <v>955</v>
      </c>
      <c r="G171">
        <f>IF(OR(C171="",B171="",B171=0),"",5.51*(C171/(B171^3)))</f>
        <v>1.636579590824667</v>
      </c>
      <c r="H171">
        <v>5151</v>
      </c>
      <c r="I171">
        <v>0.46714634149715883</v>
      </c>
      <c r="J171">
        <v>0.17</v>
      </c>
      <c r="K171" t="s">
        <v>7</v>
      </c>
      <c r="L171">
        <f>IF(AND(B171&gt;=0.8,B171&lt;=1.5),1,IF(AND(B171&gt;=0.5,B171&lt;=2),0.5,0))</f>
        <v>0</v>
      </c>
      <c r="M171">
        <f>IF(AND(C171&gt;=0.5,C171&lt;=2),1,IF(AND(C171&gt;=0.1,C171&lt;=5),0.5,0))</f>
        <v>0</v>
      </c>
      <c r="N171">
        <f>IF(AND(G171&gt;=4,G171&lt;=7),1,IF(AND(G171&gt;=3,G171&lt;=8),0.5,0))</f>
        <v>0</v>
      </c>
      <c r="O171">
        <f>IF(AND(F171&gt;=270,F171&lt;=310),1,IF(AND(F171&gt;=250,F171&lt;=330),0.5,0))</f>
        <v>0</v>
      </c>
      <c r="P171">
        <f>IF(AND(E171&gt;=0.8,E171&lt;=1.5),1,IF(AND(E171&gt;=0.5,E171&lt;=2),0.5,0))</f>
        <v>0</v>
      </c>
      <c r="Q171">
        <f>IF(AND(H171&gt;=5000,H171&lt;=6000),1,IF(AND(H171&gt;=4000,H171&lt;5000),0.5,0))</f>
        <v>1</v>
      </c>
      <c r="R171">
        <f>0.35*AVERAGE(L171:M171:N171)+0.3*O171+0.2*P171+0.15*Q171</f>
        <v>0.15</v>
      </c>
      <c r="S171" t="str">
        <f>LEFT(K171,1)</f>
        <v>K</v>
      </c>
      <c r="T171">
        <f>IF(S171="G",1,0)</f>
        <v>0</v>
      </c>
      <c r="U171">
        <f>IF(S171="K",1,0)</f>
        <v>1</v>
      </c>
      <c r="V171">
        <f>IF(S171="M",1,0)</f>
        <v>0</v>
      </c>
      <c r="W171">
        <f>IF(S171="F",1,0)</f>
        <v>0</v>
      </c>
    </row>
    <row r="172" spans="1:23" x14ac:dyDescent="0.3">
      <c r="A172" t="s">
        <v>607</v>
      </c>
      <c r="B172">
        <v>2.4510984599999999</v>
      </c>
      <c r="C172">
        <v>9.1</v>
      </c>
      <c r="D172">
        <v>5.9041370000000004</v>
      </c>
      <c r="E172">
        <v>6.0999999999999999E-2</v>
      </c>
      <c r="F172">
        <v>862.49</v>
      </c>
      <c r="G172">
        <f>IF(OR(C172="",B172="",B172=0),"",5.51*(C172/(B172^3)))</f>
        <v>3.4049498508240617</v>
      </c>
      <c r="H172">
        <v>5213</v>
      </c>
      <c r="I172">
        <v>0.49564707078237841</v>
      </c>
      <c r="J172">
        <v>0.16800000000000001</v>
      </c>
      <c r="L172">
        <f>IF(AND(B172&gt;=0.8,B172&lt;=1.5),1,IF(AND(B172&gt;=0.5,B172&lt;=2),0.5,0))</f>
        <v>0</v>
      </c>
      <c r="M172">
        <f>IF(AND(C172&gt;=0.5,C172&lt;=2),1,IF(AND(C172&gt;=0.1,C172&lt;=5),0.5,0))</f>
        <v>0</v>
      </c>
      <c r="N172">
        <f>IF(AND(G172&gt;=4,G172&lt;=7),1,IF(AND(G172&gt;=3,G172&lt;=8),0.5,0))</f>
        <v>0.5</v>
      </c>
      <c r="O172">
        <f>IF(AND(F172&gt;=270,F172&lt;=310),1,IF(AND(F172&gt;=250,F172&lt;=330),0.5,0))</f>
        <v>0</v>
      </c>
      <c r="P172">
        <f>IF(AND(E172&gt;=0.8,E172&lt;=1.5),1,IF(AND(E172&gt;=0.5,E172&lt;=2),0.5,0))</f>
        <v>0</v>
      </c>
      <c r="Q172">
        <f>IF(AND(H172&gt;=5000,H172&lt;=6000),1,IF(AND(H172&gt;=4000,H172&lt;5000),0.5,0))</f>
        <v>1</v>
      </c>
      <c r="R172">
        <f>0.35*AVERAGE(L172:M172:N172)+0.3*O172+0.2*P172+0.15*Q172</f>
        <v>0.20833333333333331</v>
      </c>
      <c r="S172" t="str">
        <f>LEFT(K172,1)</f>
        <v/>
      </c>
      <c r="T172">
        <f>IF(S172="G",1,0)</f>
        <v>0</v>
      </c>
      <c r="U172">
        <f>IF(S172="K",1,0)</f>
        <v>0</v>
      </c>
      <c r="V172">
        <f>IF(S172="M",1,0)</f>
        <v>0</v>
      </c>
      <c r="W172">
        <f>IF(S172="F",1,0)</f>
        <v>0</v>
      </c>
    </row>
    <row r="173" spans="1:23" x14ac:dyDescent="0.3">
      <c r="A173" t="s">
        <v>606</v>
      </c>
      <c r="B173">
        <v>3.4313973899999999</v>
      </c>
      <c r="C173">
        <v>5.4</v>
      </c>
      <c r="D173">
        <v>18.654874</v>
      </c>
      <c r="E173">
        <v>0.13200000000000001</v>
      </c>
      <c r="F173">
        <v>587.77</v>
      </c>
      <c r="G173">
        <f>IF(OR(C173="",B173="",B173=0),"",5.51*(C173/(B173^3)))</f>
        <v>0.73643141897374675</v>
      </c>
      <c r="H173">
        <v>5213</v>
      </c>
      <c r="I173">
        <v>0.49564707078237841</v>
      </c>
      <c r="J173">
        <v>0.16800000000000001</v>
      </c>
      <c r="L173">
        <f>IF(AND(B173&gt;=0.8,B173&lt;=1.5),1,IF(AND(B173&gt;=0.5,B173&lt;=2),0.5,0))</f>
        <v>0</v>
      </c>
      <c r="M173">
        <f>IF(AND(C173&gt;=0.5,C173&lt;=2),1,IF(AND(C173&gt;=0.1,C173&lt;=5),0.5,0))</f>
        <v>0</v>
      </c>
      <c r="N173">
        <f>IF(AND(G173&gt;=4,G173&lt;=7),1,IF(AND(G173&gt;=3,G173&lt;=8),0.5,0))</f>
        <v>0</v>
      </c>
      <c r="O173">
        <f>IF(AND(F173&gt;=270,F173&lt;=310),1,IF(AND(F173&gt;=250,F173&lt;=330),0.5,0))</f>
        <v>0</v>
      </c>
      <c r="P173">
        <f>IF(AND(E173&gt;=0.8,E173&lt;=1.5),1,IF(AND(E173&gt;=0.5,E173&lt;=2),0.5,0))</f>
        <v>0</v>
      </c>
      <c r="Q173">
        <f>IF(AND(H173&gt;=5000,H173&lt;=6000),1,IF(AND(H173&gt;=4000,H173&lt;5000),0.5,0))</f>
        <v>1</v>
      </c>
      <c r="R173">
        <f>0.35*AVERAGE(L173:M173:N173)+0.3*O173+0.2*P173+0.15*Q173</f>
        <v>0.15</v>
      </c>
      <c r="S173" t="str">
        <f>LEFT(K173,1)</f>
        <v/>
      </c>
      <c r="T173">
        <f>IF(S173="G",1,0)</f>
        <v>0</v>
      </c>
      <c r="U173">
        <f>IF(S173="K",1,0)</f>
        <v>0</v>
      </c>
      <c r="V173">
        <f>IF(S173="M",1,0)</f>
        <v>0</v>
      </c>
      <c r="W173">
        <f>IF(S173="F",1,0)</f>
        <v>0</v>
      </c>
    </row>
    <row r="174" spans="1:23" x14ac:dyDescent="0.3">
      <c r="A174" t="s">
        <v>605</v>
      </c>
      <c r="B174">
        <v>3.5141874999999998</v>
      </c>
      <c r="C174">
        <v>14.5</v>
      </c>
      <c r="D174">
        <v>37.92548</v>
      </c>
      <c r="E174">
        <v>0.21199999999999999</v>
      </c>
      <c r="F174">
        <v>463.98</v>
      </c>
      <c r="G174">
        <f>IF(OR(C174="",B174="",B174=0),"",5.51*(C174/(B174^3)))</f>
        <v>1.8409619493651341</v>
      </c>
      <c r="H174">
        <v>5213</v>
      </c>
      <c r="I174">
        <v>0.49564707078237841</v>
      </c>
      <c r="J174">
        <v>0.16800000000000001</v>
      </c>
      <c r="L174">
        <f>IF(AND(B174&gt;=0.8,B174&lt;=1.5),1,IF(AND(B174&gt;=0.5,B174&lt;=2),0.5,0))</f>
        <v>0</v>
      </c>
      <c r="M174">
        <f>IF(AND(C174&gt;=0.5,C174&lt;=2),1,IF(AND(C174&gt;=0.1,C174&lt;=5),0.5,0))</f>
        <v>0</v>
      </c>
      <c r="N174">
        <f>IF(AND(G174&gt;=4,G174&lt;=7),1,IF(AND(G174&gt;=3,G174&lt;=8),0.5,0))</f>
        <v>0</v>
      </c>
      <c r="O174">
        <f>IF(AND(F174&gt;=270,F174&lt;=310),1,IF(AND(F174&gt;=250,F174&lt;=330),0.5,0))</f>
        <v>0</v>
      </c>
      <c r="P174">
        <f>IF(AND(E174&gt;=0.8,E174&lt;=1.5),1,IF(AND(E174&gt;=0.5,E174&lt;=2),0.5,0))</f>
        <v>0</v>
      </c>
      <c r="Q174">
        <f>IF(AND(H174&gt;=5000,H174&lt;=6000),1,IF(AND(H174&gt;=4000,H174&lt;5000),0.5,0))</f>
        <v>1</v>
      </c>
      <c r="R174">
        <f>0.35*AVERAGE(L174:M174:N174)+0.3*O174+0.2*P174+0.15*Q174</f>
        <v>0.15</v>
      </c>
      <c r="S174" t="str">
        <f>LEFT(K174,1)</f>
        <v/>
      </c>
      <c r="T174">
        <f>IF(S174="G",1,0)</f>
        <v>0</v>
      </c>
      <c r="U174">
        <f>IF(S174="K",1,0)</f>
        <v>0</v>
      </c>
      <c r="V174">
        <f>IF(S174="M",1,0)</f>
        <v>0</v>
      </c>
      <c r="W174">
        <f>IF(S174="F",1,0)</f>
        <v>0</v>
      </c>
    </row>
    <row r="175" spans="1:23" x14ac:dyDescent="0.3">
      <c r="A175" t="s">
        <v>604</v>
      </c>
      <c r="B175">
        <v>6.8084859</v>
      </c>
      <c r="C175">
        <v>27.4</v>
      </c>
      <c r="D175">
        <v>4.3601561000000002</v>
      </c>
      <c r="E175">
        <v>5.0999999999999997E-2</v>
      </c>
      <c r="F175">
        <v>952.09</v>
      </c>
      <c r="G175">
        <f>IF(OR(C175="",B175="",B175=0),"",5.51*(C175/(B175^3)))</f>
        <v>0.47835523867773971</v>
      </c>
      <c r="H175">
        <v>5205</v>
      </c>
      <c r="I175">
        <v>0.49683528930087967</v>
      </c>
      <c r="J175">
        <v>0.223</v>
      </c>
      <c r="L175">
        <f>IF(AND(B175&gt;=0.8,B175&lt;=1.5),1,IF(AND(B175&gt;=0.5,B175&lt;=2),0.5,0))</f>
        <v>0</v>
      </c>
      <c r="M175">
        <f>IF(AND(C175&gt;=0.5,C175&lt;=2),1,IF(AND(C175&gt;=0.1,C175&lt;=5),0.5,0))</f>
        <v>0</v>
      </c>
      <c r="N175">
        <f>IF(AND(G175&gt;=4,G175&lt;=7),1,IF(AND(G175&gt;=3,G175&lt;=8),0.5,0))</f>
        <v>0</v>
      </c>
      <c r="O175">
        <f>IF(AND(F175&gt;=270,F175&lt;=310),1,IF(AND(F175&gt;=250,F175&lt;=330),0.5,0))</f>
        <v>0</v>
      </c>
      <c r="P175">
        <f>IF(AND(E175&gt;=0.8,E175&lt;=1.5),1,IF(AND(E175&gt;=0.5,E175&lt;=2),0.5,0))</f>
        <v>0</v>
      </c>
      <c r="Q175">
        <f>IF(AND(H175&gt;=5000,H175&lt;=6000),1,IF(AND(H175&gt;=4000,H175&lt;5000),0.5,0))</f>
        <v>1</v>
      </c>
      <c r="R175">
        <f>0.35*AVERAGE(L175:M175:N175)+0.3*O175+0.2*P175+0.15*Q175</f>
        <v>0.15</v>
      </c>
      <c r="S175" t="str">
        <f>LEFT(K175,1)</f>
        <v/>
      </c>
      <c r="T175">
        <f>IF(S175="G",1,0)</f>
        <v>0</v>
      </c>
      <c r="U175">
        <f>IF(S175="K",1,0)</f>
        <v>0</v>
      </c>
      <c r="V175">
        <f>IF(S175="M",1,0)</f>
        <v>0</v>
      </c>
      <c r="W175">
        <f>IF(S175="F",1,0)</f>
        <v>0</v>
      </c>
    </row>
    <row r="176" spans="1:23" x14ac:dyDescent="0.3">
      <c r="A176" t="s">
        <v>603</v>
      </c>
      <c r="B176">
        <v>3.2710300999999999</v>
      </c>
      <c r="C176">
        <v>11.9</v>
      </c>
      <c r="D176">
        <v>13.079151</v>
      </c>
      <c r="E176">
        <v>0.109</v>
      </c>
      <c r="F176">
        <v>726.89</v>
      </c>
      <c r="G176">
        <f>IF(OR(C176="",B176="",B176=0),"",5.51*(C176/(B176^3)))</f>
        <v>1.8734622161057926</v>
      </c>
      <c r="H176">
        <v>5497</v>
      </c>
      <c r="I176">
        <v>0.7843582300126547</v>
      </c>
      <c r="J176">
        <v>0.29699999999999999</v>
      </c>
      <c r="L176">
        <f>IF(AND(B176&gt;=0.8,B176&lt;=1.5),1,IF(AND(B176&gt;=0.5,B176&lt;=2),0.5,0))</f>
        <v>0</v>
      </c>
      <c r="M176">
        <f>IF(AND(C176&gt;=0.5,C176&lt;=2),1,IF(AND(C176&gt;=0.1,C176&lt;=5),0.5,0))</f>
        <v>0</v>
      </c>
      <c r="N176">
        <f>IF(AND(G176&gt;=4,G176&lt;=7),1,IF(AND(G176&gt;=3,G176&lt;=8),0.5,0))</f>
        <v>0</v>
      </c>
      <c r="O176">
        <f>IF(AND(F176&gt;=270,F176&lt;=310),1,IF(AND(F176&gt;=250,F176&lt;=330),0.5,0))</f>
        <v>0</v>
      </c>
      <c r="P176">
        <f>IF(AND(E176&gt;=0.8,E176&lt;=1.5),1,IF(AND(E176&gt;=0.5,E176&lt;=2),0.5,0))</f>
        <v>0</v>
      </c>
      <c r="Q176">
        <f>IF(AND(H176&gt;=5000,H176&lt;=6000),1,IF(AND(H176&gt;=4000,H176&lt;5000),0.5,0))</f>
        <v>1</v>
      </c>
      <c r="R176">
        <f>0.35*AVERAGE(L176:M176:N176)+0.3*O176+0.2*P176+0.15*Q176</f>
        <v>0.15</v>
      </c>
      <c r="S176" t="str">
        <f>LEFT(K176,1)</f>
        <v/>
      </c>
      <c r="T176">
        <f>IF(S176="G",1,0)</f>
        <v>0</v>
      </c>
      <c r="U176">
        <f>IF(S176="K",1,0)</f>
        <v>0</v>
      </c>
      <c r="V176">
        <f>IF(S176="M",1,0)</f>
        <v>0</v>
      </c>
      <c r="W176">
        <f>IF(S176="F",1,0)</f>
        <v>0</v>
      </c>
    </row>
    <row r="177" spans="1:23" x14ac:dyDescent="0.3">
      <c r="A177" t="s">
        <v>602</v>
      </c>
      <c r="B177">
        <v>2.726</v>
      </c>
      <c r="C177">
        <v>9.5</v>
      </c>
      <c r="D177">
        <v>4.6538199999999996</v>
      </c>
      <c r="E177">
        <v>5.1860000000000003E-2</v>
      </c>
      <c r="F177">
        <v>1037</v>
      </c>
      <c r="G177">
        <f>IF(OR(C177="",B177="",B177=0),"",5.51*(C177/(B177^3)))</f>
        <v>2.5840305844771962</v>
      </c>
      <c r="H177">
        <v>5320</v>
      </c>
      <c r="I177">
        <v>0.51680663853053266</v>
      </c>
      <c r="J177">
        <v>-0.02</v>
      </c>
      <c r="K177" t="s">
        <v>49</v>
      </c>
      <c r="L177">
        <f>IF(AND(B177&gt;=0.8,B177&lt;=1.5),1,IF(AND(B177&gt;=0.5,B177&lt;=2),0.5,0))</f>
        <v>0</v>
      </c>
      <c r="M177">
        <f>IF(AND(C177&gt;=0.5,C177&lt;=2),1,IF(AND(C177&gt;=0.1,C177&lt;=5),0.5,0))</f>
        <v>0</v>
      </c>
      <c r="N177">
        <f>IF(AND(G177&gt;=4,G177&lt;=7),1,IF(AND(G177&gt;=3,G177&lt;=8),0.5,0))</f>
        <v>0</v>
      </c>
      <c r="O177">
        <f>IF(AND(F177&gt;=270,F177&lt;=310),1,IF(AND(F177&gt;=250,F177&lt;=330),0.5,0))</f>
        <v>0</v>
      </c>
      <c r="P177">
        <f>IF(AND(E177&gt;=0.8,E177&lt;=1.5),1,IF(AND(E177&gt;=0.5,E177&lt;=2),0.5,0))</f>
        <v>0</v>
      </c>
      <c r="Q177">
        <f>IF(AND(H177&gt;=5000,H177&lt;=6000),1,IF(AND(H177&gt;=4000,H177&lt;5000),0.5,0))</f>
        <v>1</v>
      </c>
      <c r="R177">
        <f>0.35*AVERAGE(L177:M177:N177)+0.3*O177+0.2*P177+0.15*Q177</f>
        <v>0.15</v>
      </c>
      <c r="S177" t="str">
        <f>LEFT(K177,1)</f>
        <v>K</v>
      </c>
      <c r="T177">
        <f>IF(S177="G",1,0)</f>
        <v>0</v>
      </c>
      <c r="U177">
        <f>IF(S177="K",1,0)</f>
        <v>1</v>
      </c>
      <c r="V177">
        <f>IF(S177="M",1,0)</f>
        <v>0</v>
      </c>
      <c r="W177">
        <f>IF(S177="F",1,0)</f>
        <v>0</v>
      </c>
    </row>
    <row r="178" spans="1:23" x14ac:dyDescent="0.3">
      <c r="A178" t="s">
        <v>601</v>
      </c>
      <c r="B178">
        <v>2.7589999999999999</v>
      </c>
      <c r="C178">
        <v>6.63</v>
      </c>
      <c r="D178">
        <v>9.1505899999999993</v>
      </c>
      <c r="E178">
        <v>8.14E-2</v>
      </c>
      <c r="F178">
        <v>827.8</v>
      </c>
      <c r="G178">
        <f>IF(OR(C178="",B178="",B178=0),"",5.51*(C178/(B178^3)))</f>
        <v>1.7394422948664152</v>
      </c>
      <c r="H178">
        <v>5320</v>
      </c>
      <c r="I178">
        <v>0.51680663853053266</v>
      </c>
      <c r="J178">
        <v>-0.02</v>
      </c>
      <c r="K178" t="s">
        <v>49</v>
      </c>
      <c r="L178">
        <f>IF(AND(B178&gt;=0.8,B178&lt;=1.5),1,IF(AND(B178&gt;=0.5,B178&lt;=2),0.5,0))</f>
        <v>0</v>
      </c>
      <c r="M178">
        <f>IF(AND(C178&gt;=0.5,C178&lt;=2),1,IF(AND(C178&gt;=0.1,C178&lt;=5),0.5,0))</f>
        <v>0</v>
      </c>
      <c r="N178">
        <f>IF(AND(G178&gt;=4,G178&lt;=7),1,IF(AND(G178&gt;=3,G178&lt;=8),0.5,0))</f>
        <v>0</v>
      </c>
      <c r="O178">
        <f>IF(AND(F178&gt;=270,F178&lt;=310),1,IF(AND(F178&gt;=250,F178&lt;=330),0.5,0))</f>
        <v>0</v>
      </c>
      <c r="P178">
        <f>IF(AND(E178&gt;=0.8,E178&lt;=1.5),1,IF(AND(E178&gt;=0.5,E178&lt;=2),0.5,0))</f>
        <v>0</v>
      </c>
      <c r="Q178">
        <f>IF(AND(H178&gt;=5000,H178&lt;=6000),1,IF(AND(H178&gt;=4000,H178&lt;5000),0.5,0))</f>
        <v>1</v>
      </c>
      <c r="R178">
        <f>0.35*AVERAGE(L178:M178:N178)+0.3*O178+0.2*P178+0.15*Q178</f>
        <v>0.15</v>
      </c>
      <c r="S178" t="str">
        <f>LEFT(K178,1)</f>
        <v>K</v>
      </c>
      <c r="T178">
        <f>IF(S178="G",1,0)</f>
        <v>0</v>
      </c>
      <c r="U178">
        <f>IF(S178="K",1,0)</f>
        <v>1</v>
      </c>
      <c r="V178">
        <f>IF(S178="M",1,0)</f>
        <v>0</v>
      </c>
      <c r="W178">
        <f>IF(S178="F",1,0)</f>
        <v>0</v>
      </c>
    </row>
    <row r="179" spans="1:23" x14ac:dyDescent="0.3">
      <c r="A179" t="s">
        <v>600</v>
      </c>
      <c r="B179">
        <v>2.93</v>
      </c>
      <c r="C179">
        <v>13.6</v>
      </c>
      <c r="D179">
        <v>19.98</v>
      </c>
      <c r="E179">
        <v>0.13700000000000001</v>
      </c>
      <c r="F179">
        <v>638.1</v>
      </c>
      <c r="G179">
        <f>IF(OR(C179="",B179="",B179=0),"",5.51*(C179/(B179^3)))</f>
        <v>2.9791175926522615</v>
      </c>
      <c r="H179">
        <v>5320</v>
      </c>
      <c r="I179">
        <v>0.51680663853053266</v>
      </c>
      <c r="J179">
        <v>-0.02</v>
      </c>
      <c r="K179" t="s">
        <v>49</v>
      </c>
      <c r="L179">
        <f>IF(AND(B179&gt;=0.8,B179&lt;=1.5),1,IF(AND(B179&gt;=0.5,B179&lt;=2),0.5,0))</f>
        <v>0</v>
      </c>
      <c r="M179">
        <f>IF(AND(C179&gt;=0.5,C179&lt;=2),1,IF(AND(C179&gt;=0.1,C179&lt;=5),0.5,0))</f>
        <v>0</v>
      </c>
      <c r="N179">
        <f>IF(AND(G179&gt;=4,G179&lt;=7),1,IF(AND(G179&gt;=3,G179&lt;=8),0.5,0))</f>
        <v>0</v>
      </c>
      <c r="O179">
        <f>IF(AND(F179&gt;=270,F179&lt;=310),1,IF(AND(F179&gt;=250,F179&lt;=330),0.5,0))</f>
        <v>0</v>
      </c>
      <c r="P179">
        <f>IF(AND(E179&gt;=0.8,E179&lt;=1.5),1,IF(AND(E179&gt;=0.5,E179&lt;=2),0.5,0))</f>
        <v>0</v>
      </c>
      <c r="Q179">
        <f>IF(AND(H179&gt;=5000,H179&lt;=6000),1,IF(AND(H179&gt;=4000,H179&lt;5000),0.5,0))</f>
        <v>1</v>
      </c>
      <c r="R179">
        <f>0.35*AVERAGE(L179:M179:N179)+0.3*O179+0.2*P179+0.15*Q179</f>
        <v>0.15</v>
      </c>
      <c r="S179" t="str">
        <f>LEFT(K179,1)</f>
        <v>K</v>
      </c>
      <c r="T179">
        <f>IF(S179="G",1,0)</f>
        <v>0</v>
      </c>
      <c r="U179">
        <f>IF(S179="K",1,0)</f>
        <v>1</v>
      </c>
      <c r="V179">
        <f>IF(S179="M",1,0)</f>
        <v>0</v>
      </c>
      <c r="W179">
        <f>IF(S179="F",1,0)</f>
        <v>0</v>
      </c>
    </row>
    <row r="180" spans="1:23" x14ac:dyDescent="0.3">
      <c r="A180" t="s">
        <v>599</v>
      </c>
      <c r="B180">
        <v>11.455578279999999</v>
      </c>
      <c r="C180">
        <v>140.16232749</v>
      </c>
      <c r="D180">
        <v>3.4779779999999998</v>
      </c>
      <c r="E180">
        <v>4.07E-2</v>
      </c>
      <c r="F180">
        <v>963</v>
      </c>
      <c r="G180">
        <f>IF(OR(C180="",B180="",B180=0),"",5.51*(C180/(B180^3)))</f>
        <v>0.51372635631386077</v>
      </c>
      <c r="H180">
        <v>4775</v>
      </c>
      <c r="I180">
        <v>0.23578846496399292</v>
      </c>
      <c r="J180">
        <v>-0.5</v>
      </c>
      <c r="L180">
        <f>IF(AND(B180&gt;=0.8,B180&lt;=1.5),1,IF(AND(B180&gt;=0.5,B180&lt;=2),0.5,0))</f>
        <v>0</v>
      </c>
      <c r="M180">
        <f>IF(AND(C180&gt;=0.5,C180&lt;=2),1,IF(AND(C180&gt;=0.1,C180&lt;=5),0.5,0))</f>
        <v>0</v>
      </c>
      <c r="N180">
        <f>IF(AND(G180&gt;=4,G180&lt;=7),1,IF(AND(G180&gt;=3,G180&lt;=8),0.5,0))</f>
        <v>0</v>
      </c>
      <c r="O180">
        <f>IF(AND(F180&gt;=270,F180&lt;=310),1,IF(AND(F180&gt;=250,F180&lt;=330),0.5,0))</f>
        <v>0</v>
      </c>
      <c r="P180">
        <f>IF(AND(E180&gt;=0.8,E180&lt;=1.5),1,IF(AND(E180&gt;=0.5,E180&lt;=2),0.5,0))</f>
        <v>0</v>
      </c>
      <c r="Q180">
        <f>IF(AND(H180&gt;=5000,H180&lt;=6000),1,IF(AND(H180&gt;=4000,H180&lt;5000),0.5,0))</f>
        <v>0.5</v>
      </c>
      <c r="R180">
        <f>0.35*AVERAGE(L180:M180:N180)+0.3*O180+0.2*P180+0.15*Q180</f>
        <v>7.4999999999999997E-2</v>
      </c>
      <c r="S180" t="str">
        <f>LEFT(K180,1)</f>
        <v/>
      </c>
      <c r="T180">
        <f>IF(S180="G",1,0)</f>
        <v>0</v>
      </c>
      <c r="U180">
        <f>IF(S180="K",1,0)</f>
        <v>0</v>
      </c>
      <c r="V180">
        <f>IF(S180="M",1,0)</f>
        <v>0</v>
      </c>
      <c r="W180">
        <f>IF(S180="F",1,0)</f>
        <v>0</v>
      </c>
    </row>
    <row r="181" spans="1:23" x14ac:dyDescent="0.3">
      <c r="A181" t="s">
        <v>598</v>
      </c>
      <c r="B181">
        <v>2.41</v>
      </c>
      <c r="C181">
        <v>8.56</v>
      </c>
      <c r="D181">
        <v>3.1274630000000001</v>
      </c>
      <c r="E181">
        <v>3.6700000000000003E-2</v>
      </c>
      <c r="F181">
        <v>871</v>
      </c>
      <c r="G181">
        <f>IF(OR(C181="",B181="",B181=0),"",5.51*(C181/(B181^3)))</f>
        <v>3.369568082805519</v>
      </c>
      <c r="H181">
        <v>4227</v>
      </c>
      <c r="I181">
        <v>0.12934730587381379</v>
      </c>
      <c r="J181">
        <v>-0.1</v>
      </c>
      <c r="L181">
        <f>IF(AND(B181&gt;=0.8,B181&lt;=1.5),1,IF(AND(B181&gt;=0.5,B181&lt;=2),0.5,0))</f>
        <v>0</v>
      </c>
      <c r="M181">
        <f>IF(AND(C181&gt;=0.5,C181&lt;=2),1,IF(AND(C181&gt;=0.1,C181&lt;=5),0.5,0))</f>
        <v>0</v>
      </c>
      <c r="N181">
        <f>IF(AND(G181&gt;=4,G181&lt;=7),1,IF(AND(G181&gt;=3,G181&lt;=8),0.5,0))</f>
        <v>0.5</v>
      </c>
      <c r="O181">
        <f>IF(AND(F181&gt;=270,F181&lt;=310),1,IF(AND(F181&gt;=250,F181&lt;=330),0.5,0))</f>
        <v>0</v>
      </c>
      <c r="P181">
        <f>IF(AND(E181&gt;=0.8,E181&lt;=1.5),1,IF(AND(E181&gt;=0.5,E181&lt;=2),0.5,0))</f>
        <v>0</v>
      </c>
      <c r="Q181">
        <f>IF(AND(H181&gt;=5000,H181&lt;=6000),1,IF(AND(H181&gt;=4000,H181&lt;5000),0.5,0))</f>
        <v>0.5</v>
      </c>
      <c r="R181">
        <f>0.35*AVERAGE(L181:M181:N181)+0.3*O181+0.2*P181+0.15*Q181</f>
        <v>0.13333333333333333</v>
      </c>
      <c r="S181" t="str">
        <f>LEFT(K181,1)</f>
        <v/>
      </c>
      <c r="T181">
        <f>IF(S181="G",1,0)</f>
        <v>0</v>
      </c>
      <c r="U181">
        <f>IF(S181="K",1,0)</f>
        <v>0</v>
      </c>
      <c r="V181">
        <f>IF(S181="M",1,0)</f>
        <v>0</v>
      </c>
      <c r="W181">
        <f>IF(S181="F",1,0)</f>
        <v>0</v>
      </c>
    </row>
    <row r="182" spans="1:23" x14ac:dyDescent="0.3">
      <c r="A182" t="s">
        <v>597</v>
      </c>
      <c r="B182">
        <v>2.76</v>
      </c>
      <c r="C182">
        <v>13.2</v>
      </c>
      <c r="D182">
        <v>7.4931340000000004</v>
      </c>
      <c r="E182">
        <v>6.5699999999999995E-2</v>
      </c>
      <c r="F182">
        <v>651</v>
      </c>
      <c r="G182">
        <f>IF(OR(C182="",B182="",B182=0),"",5.51*(C182/(B182^3)))</f>
        <v>3.4593801083075348</v>
      </c>
      <c r="H182">
        <v>4227</v>
      </c>
      <c r="I182">
        <v>0.12934730587381379</v>
      </c>
      <c r="J182">
        <v>-0.1</v>
      </c>
      <c r="L182">
        <f>IF(AND(B182&gt;=0.8,B182&lt;=1.5),1,IF(AND(B182&gt;=0.5,B182&lt;=2),0.5,0))</f>
        <v>0</v>
      </c>
      <c r="M182">
        <f>IF(AND(C182&gt;=0.5,C182&lt;=2),1,IF(AND(C182&gt;=0.1,C182&lt;=5),0.5,0))</f>
        <v>0</v>
      </c>
      <c r="N182">
        <f>IF(AND(G182&gt;=4,G182&lt;=7),1,IF(AND(G182&gt;=3,G182&lt;=8),0.5,0))</f>
        <v>0.5</v>
      </c>
      <c r="O182">
        <f>IF(AND(F182&gt;=270,F182&lt;=310),1,IF(AND(F182&gt;=250,F182&lt;=330),0.5,0))</f>
        <v>0</v>
      </c>
      <c r="P182">
        <f>IF(AND(E182&gt;=0.8,E182&lt;=1.5),1,IF(AND(E182&gt;=0.5,E182&lt;=2),0.5,0))</f>
        <v>0</v>
      </c>
      <c r="Q182">
        <f>IF(AND(H182&gt;=5000,H182&lt;=6000),1,IF(AND(H182&gt;=4000,H182&lt;5000),0.5,0))</f>
        <v>0.5</v>
      </c>
      <c r="R182">
        <f>0.35*AVERAGE(L182:M182:N182)+0.3*O182+0.2*P182+0.15*Q182</f>
        <v>0.13333333333333333</v>
      </c>
      <c r="S182" t="str">
        <f>LEFT(K182,1)</f>
        <v/>
      </c>
      <c r="T182">
        <f>IF(S182="G",1,0)</f>
        <v>0</v>
      </c>
      <c r="U182">
        <f>IF(S182="K",1,0)</f>
        <v>0</v>
      </c>
      <c r="V182">
        <f>IF(S182="M",1,0)</f>
        <v>0</v>
      </c>
      <c r="W182">
        <f>IF(S182="F",1,0)</f>
        <v>0</v>
      </c>
    </row>
    <row r="183" spans="1:23" x14ac:dyDescent="0.3">
      <c r="A183" t="s">
        <v>596</v>
      </c>
      <c r="B183">
        <v>3.12</v>
      </c>
      <c r="C183">
        <v>11.84</v>
      </c>
      <c r="D183">
        <v>16.608163999999999</v>
      </c>
      <c r="E183">
        <v>0.1116</v>
      </c>
      <c r="F183">
        <v>499</v>
      </c>
      <c r="G183">
        <f>IF(OR(C183="",B183="",B183=0),"",5.51*(C183/(B183^3)))</f>
        <v>2.1480259276117262</v>
      </c>
      <c r="H183">
        <v>4227</v>
      </c>
      <c r="I183">
        <v>0.12934730587381379</v>
      </c>
      <c r="J183">
        <v>-0.1</v>
      </c>
      <c r="L183">
        <f>IF(AND(B183&gt;=0.8,B183&lt;=1.5),1,IF(AND(B183&gt;=0.5,B183&lt;=2),0.5,0))</f>
        <v>0</v>
      </c>
      <c r="M183">
        <f>IF(AND(C183&gt;=0.5,C183&lt;=2),1,IF(AND(C183&gt;=0.1,C183&lt;=5),0.5,0))</f>
        <v>0</v>
      </c>
      <c r="N183">
        <f>IF(AND(G183&gt;=4,G183&lt;=7),1,IF(AND(G183&gt;=3,G183&lt;=8),0.5,0))</f>
        <v>0</v>
      </c>
      <c r="O183">
        <f>IF(AND(F183&gt;=270,F183&lt;=310),1,IF(AND(F183&gt;=250,F183&lt;=330),0.5,0))</f>
        <v>0</v>
      </c>
      <c r="P183">
        <f>IF(AND(E183&gt;=0.8,E183&lt;=1.5),1,IF(AND(E183&gt;=0.5,E183&lt;=2),0.5,0))</f>
        <v>0</v>
      </c>
      <c r="Q183">
        <f>IF(AND(H183&gt;=5000,H183&lt;=6000),1,IF(AND(H183&gt;=4000,H183&lt;5000),0.5,0))</f>
        <v>0.5</v>
      </c>
      <c r="R183">
        <f>0.35*AVERAGE(L183:M183:N183)+0.3*O183+0.2*P183+0.15*Q183</f>
        <v>7.4999999999999997E-2</v>
      </c>
      <c r="S183" t="str">
        <f>LEFT(K183,1)</f>
        <v/>
      </c>
      <c r="T183">
        <f>IF(S183="G",1,0)</f>
        <v>0</v>
      </c>
      <c r="U183">
        <f>IF(S183="K",1,0)</f>
        <v>0</v>
      </c>
      <c r="V183">
        <f>IF(S183="M",1,0)</f>
        <v>0</v>
      </c>
      <c r="W183">
        <f>IF(S183="F",1,0)</f>
        <v>0</v>
      </c>
    </row>
    <row r="184" spans="1:23" x14ac:dyDescent="0.3">
      <c r="A184" t="s">
        <v>595</v>
      </c>
      <c r="B184">
        <v>2.52</v>
      </c>
      <c r="C184">
        <v>4.46</v>
      </c>
      <c r="D184">
        <v>10.894500000000001</v>
      </c>
      <c r="E184">
        <v>7.2999999999999995E-2</v>
      </c>
      <c r="F184">
        <v>415</v>
      </c>
      <c r="G184">
        <f>IF(OR(C184="",B184="",B184=0),"",5.51*(C184/(B184^3)))</f>
        <v>1.5356238027250875</v>
      </c>
      <c r="H184">
        <v>3563</v>
      </c>
      <c r="I184">
        <v>2.5896701889535377E-2</v>
      </c>
      <c r="J184">
        <v>-0.109</v>
      </c>
      <c r="K184" t="s">
        <v>276</v>
      </c>
      <c r="L184">
        <f>IF(AND(B184&gt;=0.8,B184&lt;=1.5),1,IF(AND(B184&gt;=0.5,B184&lt;=2),0.5,0))</f>
        <v>0</v>
      </c>
      <c r="M184">
        <f>IF(AND(C184&gt;=0.5,C184&lt;=2),1,IF(AND(C184&gt;=0.1,C184&lt;=5),0.5,0))</f>
        <v>0.5</v>
      </c>
      <c r="N184">
        <f>IF(AND(G184&gt;=4,G184&lt;=7),1,IF(AND(G184&gt;=3,G184&lt;=8),0.5,0))</f>
        <v>0</v>
      </c>
      <c r="O184">
        <f>IF(AND(F184&gt;=270,F184&lt;=310),1,IF(AND(F184&gt;=250,F184&lt;=330),0.5,0))</f>
        <v>0</v>
      </c>
      <c r="P184">
        <f>IF(AND(E184&gt;=0.8,E184&lt;=1.5),1,IF(AND(E184&gt;=0.5,E184&lt;=2),0.5,0))</f>
        <v>0</v>
      </c>
      <c r="Q184">
        <f>IF(AND(H184&gt;=5000,H184&lt;=6000),1,IF(AND(H184&gt;=4000,H184&lt;5000),0.5,0))</f>
        <v>0</v>
      </c>
      <c r="R184">
        <f>0.35*AVERAGE(L184:M184:N184)+0.3*O184+0.2*P184+0.15*Q184</f>
        <v>5.8333333333333327E-2</v>
      </c>
      <c r="S184" t="str">
        <f>LEFT(K184,1)</f>
        <v>M</v>
      </c>
      <c r="T184">
        <f>IF(S184="G",1,0)</f>
        <v>0</v>
      </c>
      <c r="U184">
        <f>IF(S184="K",1,0)</f>
        <v>0</v>
      </c>
      <c r="V184">
        <f>IF(S184="M",1,0)</f>
        <v>1</v>
      </c>
      <c r="W184">
        <f>IF(S184="F",1,0)</f>
        <v>0</v>
      </c>
    </row>
    <row r="185" spans="1:23" x14ac:dyDescent="0.3">
      <c r="A185" t="s">
        <v>594</v>
      </c>
      <c r="B185">
        <v>1.98</v>
      </c>
      <c r="C185">
        <v>3.17</v>
      </c>
      <c r="D185">
        <v>18.802700000000002</v>
      </c>
      <c r="E185">
        <v>0.105</v>
      </c>
      <c r="F185">
        <v>346</v>
      </c>
      <c r="G185">
        <f>IF(OR(C185="",B185="",B185=0),"",5.51*(C185/(B185^3)))</f>
        <v>2.2501697930225633</v>
      </c>
      <c r="H185">
        <v>3563</v>
      </c>
      <c r="I185">
        <v>2.5896701889535377E-2</v>
      </c>
      <c r="J185">
        <v>-0.109</v>
      </c>
      <c r="K185" t="s">
        <v>276</v>
      </c>
      <c r="L185">
        <f>IF(AND(B185&gt;=0.8,B185&lt;=1.5),1,IF(AND(B185&gt;=0.5,B185&lt;=2),0.5,0))</f>
        <v>0.5</v>
      </c>
      <c r="M185">
        <f>IF(AND(C185&gt;=0.5,C185&lt;=2),1,IF(AND(C185&gt;=0.1,C185&lt;=5),0.5,0))</f>
        <v>0.5</v>
      </c>
      <c r="N185">
        <f>IF(AND(G185&gt;=4,G185&lt;=7),1,IF(AND(G185&gt;=3,G185&lt;=8),0.5,0))</f>
        <v>0</v>
      </c>
      <c r="O185">
        <f>IF(AND(F185&gt;=270,F185&lt;=310),1,IF(AND(F185&gt;=250,F185&lt;=330),0.5,0))</f>
        <v>0</v>
      </c>
      <c r="P185">
        <f>IF(AND(E185&gt;=0.8,E185&lt;=1.5),1,IF(AND(E185&gt;=0.5,E185&lt;=2),0.5,0))</f>
        <v>0</v>
      </c>
      <c r="Q185">
        <f>IF(AND(H185&gt;=5000,H185&lt;=6000),1,IF(AND(H185&gt;=4000,H185&lt;5000),0.5,0))</f>
        <v>0</v>
      </c>
      <c r="R185">
        <f>0.35*AVERAGE(L185:M185:N185)+0.3*O185+0.2*P185+0.15*Q185</f>
        <v>0.11666666666666665</v>
      </c>
      <c r="S185" t="str">
        <f>LEFT(K185,1)</f>
        <v>M</v>
      </c>
      <c r="T185">
        <f>IF(S185="G",1,0)</f>
        <v>0</v>
      </c>
      <c r="U185">
        <f>IF(S185="K",1,0)</f>
        <v>0</v>
      </c>
      <c r="V185">
        <f>IF(S185="M",1,0)</f>
        <v>1</v>
      </c>
      <c r="W185">
        <f>IF(S185="F",1,0)</f>
        <v>0</v>
      </c>
    </row>
    <row r="186" spans="1:23" x14ac:dyDescent="0.3">
      <c r="A186" t="s">
        <v>593</v>
      </c>
      <c r="C186">
        <v>3.68</v>
      </c>
      <c r="D186">
        <v>32.509</v>
      </c>
      <c r="E186">
        <v>0.15129999999999999</v>
      </c>
      <c r="F186">
        <v>288</v>
      </c>
      <c r="G186" t="str">
        <f>IF(OR(C186="",B186="",B186=0),"",5.51*(C186/(B186^3)))</f>
        <v/>
      </c>
      <c r="H186">
        <v>3563</v>
      </c>
      <c r="I186">
        <v>2.5896701889535377E-2</v>
      </c>
      <c r="J186">
        <v>-0.109</v>
      </c>
      <c r="K186" t="s">
        <v>276</v>
      </c>
      <c r="L186">
        <f>IF(AND(B186&gt;=0.8,B186&lt;=1.5),1,IF(AND(B186&gt;=0.5,B186&lt;=2),0.5,0))</f>
        <v>0</v>
      </c>
      <c r="M186">
        <f>IF(AND(C186&gt;=0.5,C186&lt;=2),1,IF(AND(C186&gt;=0.1,C186&lt;=5),0.5,0))</f>
        <v>0.5</v>
      </c>
      <c r="N186">
        <f>IF(AND(G186&gt;=4,G186&lt;=7),1,IF(AND(G186&gt;=3,G186&lt;=8),0.5,0))</f>
        <v>0</v>
      </c>
      <c r="O186">
        <f>IF(AND(F186&gt;=270,F186&lt;=310),1,IF(AND(F186&gt;=250,F186&lt;=330),0.5,0))</f>
        <v>1</v>
      </c>
      <c r="P186">
        <f>IF(AND(E186&gt;=0.8,E186&lt;=1.5),1,IF(AND(E186&gt;=0.5,E186&lt;=2),0.5,0))</f>
        <v>0</v>
      </c>
      <c r="Q186">
        <f>IF(AND(H186&gt;=5000,H186&lt;=6000),1,IF(AND(H186&gt;=4000,H186&lt;5000),0.5,0))</f>
        <v>0</v>
      </c>
      <c r="R186">
        <f>0.35*AVERAGE(L186:M186:N186)+0.3*O186+0.2*P186+0.15*Q186</f>
        <v>0.35833333333333334</v>
      </c>
      <c r="S186" t="str">
        <f>LEFT(K186,1)</f>
        <v>M</v>
      </c>
      <c r="T186">
        <f>IF(S186="G",1,0)</f>
        <v>0</v>
      </c>
      <c r="U186">
        <f>IF(S186="K",1,0)</f>
        <v>0</v>
      </c>
      <c r="V186">
        <f>IF(S186="M",1,0)</f>
        <v>1</v>
      </c>
      <c r="W186">
        <f>IF(S186="F",1,0)</f>
        <v>0</v>
      </c>
    </row>
    <row r="187" spans="1:23" x14ac:dyDescent="0.3">
      <c r="A187" t="s">
        <v>592</v>
      </c>
      <c r="B187">
        <v>9.1</v>
      </c>
      <c r="C187">
        <v>96.4</v>
      </c>
      <c r="D187">
        <v>8.1577093999999999</v>
      </c>
      <c r="E187">
        <v>7.1099999999999997E-2</v>
      </c>
      <c r="F187">
        <v>918.9</v>
      </c>
      <c r="G187">
        <f>IF(OR(C187="",B187="",B187=0),"",5.51*(C187/(B187^3)))</f>
        <v>0.70486258096450116</v>
      </c>
      <c r="H187">
        <v>5300</v>
      </c>
      <c r="I187">
        <v>0.59919610698457448</v>
      </c>
      <c r="J187">
        <v>0.36</v>
      </c>
      <c r="K187" t="s">
        <v>591</v>
      </c>
      <c r="L187">
        <f>IF(AND(B187&gt;=0.8,B187&lt;=1.5),1,IF(AND(B187&gt;=0.5,B187&lt;=2),0.5,0))</f>
        <v>0</v>
      </c>
      <c r="M187">
        <f>IF(AND(C187&gt;=0.5,C187&lt;=2),1,IF(AND(C187&gt;=0.1,C187&lt;=5),0.5,0))</f>
        <v>0</v>
      </c>
      <c r="N187">
        <f>IF(AND(G187&gt;=4,G187&lt;=7),1,IF(AND(G187&gt;=3,G187&lt;=8),0.5,0))</f>
        <v>0</v>
      </c>
      <c r="O187">
        <f>IF(AND(F187&gt;=270,F187&lt;=310),1,IF(AND(F187&gt;=250,F187&lt;=330),0.5,0))</f>
        <v>0</v>
      </c>
      <c r="P187">
        <f>IF(AND(E187&gt;=0.8,E187&lt;=1.5),1,IF(AND(E187&gt;=0.5,E187&lt;=2),0.5,0))</f>
        <v>0</v>
      </c>
      <c r="Q187">
        <f>IF(AND(H187&gt;=5000,H187&lt;=6000),1,IF(AND(H187&gt;=4000,H187&lt;5000),0.5,0))</f>
        <v>1</v>
      </c>
      <c r="R187">
        <f>0.35*AVERAGE(L187:M187:N187)+0.3*O187+0.2*P187+0.15*Q187</f>
        <v>0.15</v>
      </c>
      <c r="S187" t="str">
        <f>LEFT(K187,1)</f>
        <v>K</v>
      </c>
      <c r="T187">
        <f>IF(S187="G",1,0)</f>
        <v>0</v>
      </c>
      <c r="U187">
        <f>IF(S187="K",1,0)</f>
        <v>1</v>
      </c>
      <c r="V187">
        <f>IF(S187="M",1,0)</f>
        <v>0</v>
      </c>
      <c r="W187">
        <f>IF(S187="F",1,0)</f>
        <v>0</v>
      </c>
    </row>
    <row r="188" spans="1:23" x14ac:dyDescent="0.3">
      <c r="A188" t="s">
        <v>590</v>
      </c>
      <c r="B188">
        <v>2.40144286</v>
      </c>
      <c r="C188">
        <v>6.4</v>
      </c>
      <c r="D188">
        <v>4.2529912999999997</v>
      </c>
      <c r="E188">
        <v>4.9599999999999998E-2</v>
      </c>
      <c r="F188">
        <v>1004.9</v>
      </c>
      <c r="G188">
        <f>IF(OR(C188="",B188="",B188=0),"",5.51*(C188/(B188^3)))</f>
        <v>2.5463306660698524</v>
      </c>
      <c r="H188">
        <v>5499</v>
      </c>
      <c r="I188">
        <v>0.59567017999104488</v>
      </c>
      <c r="J188">
        <v>-4.9000000000000002E-2</v>
      </c>
      <c r="L188">
        <f>IF(AND(B188&gt;=0.8,B188&lt;=1.5),1,IF(AND(B188&gt;=0.5,B188&lt;=2),0.5,0))</f>
        <v>0</v>
      </c>
      <c r="M188">
        <f>IF(AND(C188&gt;=0.5,C188&lt;=2),1,IF(AND(C188&gt;=0.1,C188&lt;=5),0.5,0))</f>
        <v>0</v>
      </c>
      <c r="N188">
        <f>IF(AND(G188&gt;=4,G188&lt;=7),1,IF(AND(G188&gt;=3,G188&lt;=8),0.5,0))</f>
        <v>0</v>
      </c>
      <c r="O188">
        <f>IF(AND(F188&gt;=270,F188&lt;=310),1,IF(AND(F188&gt;=250,F188&lt;=330),0.5,0))</f>
        <v>0</v>
      </c>
      <c r="P188">
        <f>IF(AND(E188&gt;=0.8,E188&lt;=1.5),1,IF(AND(E188&gt;=0.5,E188&lt;=2),0.5,0))</f>
        <v>0</v>
      </c>
      <c r="Q188">
        <f>IF(AND(H188&gt;=5000,H188&lt;=6000),1,IF(AND(H188&gt;=4000,H188&lt;5000),0.5,0))</f>
        <v>1</v>
      </c>
      <c r="R188">
        <f>0.35*AVERAGE(L188:M188:N188)+0.3*O188+0.2*P188+0.15*Q188</f>
        <v>0.15</v>
      </c>
      <c r="S188" t="str">
        <f>LEFT(K188,1)</f>
        <v/>
      </c>
      <c r="T188">
        <f>IF(S188="G",1,0)</f>
        <v>0</v>
      </c>
      <c r="U188">
        <f>IF(S188="K",1,0)</f>
        <v>0</v>
      </c>
      <c r="V188">
        <f>IF(S188="M",1,0)</f>
        <v>0</v>
      </c>
      <c r="W188">
        <f>IF(S188="F",1,0)</f>
        <v>0</v>
      </c>
    </row>
    <row r="189" spans="1:23" x14ac:dyDescent="0.3">
      <c r="A189" t="s">
        <v>589</v>
      </c>
      <c r="B189">
        <v>4.1320490699999999</v>
      </c>
      <c r="C189">
        <v>27</v>
      </c>
      <c r="D189">
        <v>3.3159900000000002</v>
      </c>
      <c r="E189">
        <v>4.1700000000000001E-2</v>
      </c>
      <c r="F189">
        <v>975</v>
      </c>
      <c r="G189">
        <f>IF(OR(C189="",B189="",B189=0),"",5.51*(C189/(B189^3)))</f>
        <v>2.1087201696550419</v>
      </c>
      <c r="H189">
        <v>5065</v>
      </c>
      <c r="I189">
        <v>0.37169955489008472</v>
      </c>
      <c r="J189">
        <v>0.182</v>
      </c>
      <c r="L189">
        <f>IF(AND(B189&gt;=0.8,B189&lt;=1.5),1,IF(AND(B189&gt;=0.5,B189&lt;=2),0.5,0))</f>
        <v>0</v>
      </c>
      <c r="M189">
        <f>IF(AND(C189&gt;=0.5,C189&lt;=2),1,IF(AND(C189&gt;=0.1,C189&lt;=5),0.5,0))</f>
        <v>0</v>
      </c>
      <c r="N189">
        <f>IF(AND(G189&gt;=4,G189&lt;=7),1,IF(AND(G189&gt;=3,G189&lt;=8),0.5,0))</f>
        <v>0</v>
      </c>
      <c r="O189">
        <f>IF(AND(F189&gt;=270,F189&lt;=310),1,IF(AND(F189&gt;=250,F189&lt;=330),0.5,0))</f>
        <v>0</v>
      </c>
      <c r="P189">
        <f>IF(AND(E189&gt;=0.8,E189&lt;=1.5),1,IF(AND(E189&gt;=0.5,E189&lt;=2),0.5,0))</f>
        <v>0</v>
      </c>
      <c r="Q189">
        <f>IF(AND(H189&gt;=5000,H189&lt;=6000),1,IF(AND(H189&gt;=4000,H189&lt;5000),0.5,0))</f>
        <v>1</v>
      </c>
      <c r="R189">
        <f>0.35*AVERAGE(L189:M189:N189)+0.3*O189+0.2*P189+0.15*Q189</f>
        <v>0.15</v>
      </c>
      <c r="S189" t="str">
        <f>LEFT(K189,1)</f>
        <v/>
      </c>
      <c r="T189">
        <f>IF(S189="G",1,0)</f>
        <v>0</v>
      </c>
      <c r="U189">
        <f>IF(S189="K",1,0)</f>
        <v>0</v>
      </c>
      <c r="V189">
        <f>IF(S189="M",1,0)</f>
        <v>0</v>
      </c>
      <c r="W189">
        <f>IF(S189="F",1,0)</f>
        <v>0</v>
      </c>
    </row>
    <row r="190" spans="1:23" x14ac:dyDescent="0.3">
      <c r="A190" t="s">
        <v>588</v>
      </c>
      <c r="B190">
        <v>11.096890889999999</v>
      </c>
      <c r="C190">
        <v>70.557906349999996</v>
      </c>
      <c r="D190">
        <v>4.6312959999999999</v>
      </c>
      <c r="E190">
        <v>5.4899999999999997E-2</v>
      </c>
      <c r="F190">
        <v>1211</v>
      </c>
      <c r="G190">
        <f>IF(OR(C190="",B190="",B190=0),"",5.51*(C190/(B190^3)))</f>
        <v>0.28450724934570198</v>
      </c>
      <c r="H190">
        <v>5690</v>
      </c>
      <c r="I190">
        <v>1.0566974175973087</v>
      </c>
      <c r="J190">
        <v>7.0000000000000007E-2</v>
      </c>
      <c r="L190">
        <f>IF(AND(B190&gt;=0.8,B190&lt;=1.5),1,IF(AND(B190&gt;=0.5,B190&lt;=2),0.5,0))</f>
        <v>0</v>
      </c>
      <c r="M190">
        <f>IF(AND(C190&gt;=0.5,C190&lt;=2),1,IF(AND(C190&gt;=0.1,C190&lt;=5),0.5,0))</f>
        <v>0</v>
      </c>
      <c r="N190">
        <f>IF(AND(G190&gt;=4,G190&lt;=7),1,IF(AND(G190&gt;=3,G190&lt;=8),0.5,0))</f>
        <v>0</v>
      </c>
      <c r="O190">
        <f>IF(AND(F190&gt;=270,F190&lt;=310),1,IF(AND(F190&gt;=250,F190&lt;=330),0.5,0))</f>
        <v>0</v>
      </c>
      <c r="P190">
        <f>IF(AND(E190&gt;=0.8,E190&lt;=1.5),1,IF(AND(E190&gt;=0.5,E190&lt;=2),0.5,0))</f>
        <v>0</v>
      </c>
      <c r="Q190">
        <f>IF(AND(H190&gt;=5000,H190&lt;=6000),1,IF(AND(H190&gt;=4000,H190&lt;5000),0.5,0))</f>
        <v>1</v>
      </c>
      <c r="R190">
        <f>0.35*AVERAGE(L190:M190:N190)+0.3*O190+0.2*P190+0.15*Q190</f>
        <v>0.15</v>
      </c>
      <c r="S190" t="str">
        <f>LEFT(K190,1)</f>
        <v/>
      </c>
      <c r="T190">
        <f>IF(S190="G",1,0)</f>
        <v>0</v>
      </c>
      <c r="U190">
        <f>IF(S190="K",1,0)</f>
        <v>0</v>
      </c>
      <c r="V190">
        <f>IF(S190="M",1,0)</f>
        <v>0</v>
      </c>
      <c r="W190">
        <f>IF(S190="F",1,0)</f>
        <v>0</v>
      </c>
    </row>
    <row r="191" spans="1:23" x14ac:dyDescent="0.3">
      <c r="A191" t="s">
        <v>587</v>
      </c>
      <c r="B191">
        <v>12.21778896</v>
      </c>
      <c r="C191">
        <v>5879.8255294999999</v>
      </c>
      <c r="D191">
        <v>14.475669999999999</v>
      </c>
      <c r="E191">
        <v>9.5000000000000001E-2</v>
      </c>
      <c r="G191">
        <f>IF(OR(C191="",B191="",B191=0),"",5.51*(C191/(B191^3)))</f>
        <v>17.763894317424203</v>
      </c>
      <c r="H191">
        <v>3799</v>
      </c>
      <c r="I191">
        <v>6.1358716732472819E-2</v>
      </c>
      <c r="J191">
        <v>-0.01</v>
      </c>
      <c r="K191" t="s">
        <v>96</v>
      </c>
      <c r="L191">
        <f>IF(AND(B191&gt;=0.8,B191&lt;=1.5),1,IF(AND(B191&gt;=0.5,B191&lt;=2),0.5,0))</f>
        <v>0</v>
      </c>
      <c r="M191">
        <f>IF(AND(C191&gt;=0.5,C191&lt;=2),1,IF(AND(C191&gt;=0.1,C191&lt;=5),0.5,0))</f>
        <v>0</v>
      </c>
      <c r="N191">
        <f>IF(AND(G191&gt;=4,G191&lt;=7),1,IF(AND(G191&gt;=3,G191&lt;=8),0.5,0))</f>
        <v>0</v>
      </c>
      <c r="O191">
        <f>IF(AND(F191&gt;=270,F191&lt;=310),1,IF(AND(F191&gt;=250,F191&lt;=330),0.5,0))</f>
        <v>0</v>
      </c>
      <c r="P191">
        <f>IF(AND(E191&gt;=0.8,E191&lt;=1.5),1,IF(AND(E191&gt;=0.5,E191&lt;=2),0.5,0))</f>
        <v>0</v>
      </c>
      <c r="Q191">
        <f>IF(AND(H191&gt;=5000,H191&lt;=6000),1,IF(AND(H191&gt;=4000,H191&lt;5000),0.5,0))</f>
        <v>0</v>
      </c>
      <c r="R191">
        <f>0.35*AVERAGE(L191:M191:N191)+0.3*O191+0.2*P191+0.15*Q191</f>
        <v>0</v>
      </c>
      <c r="S191" t="str">
        <f>LEFT(K191,1)</f>
        <v>M</v>
      </c>
      <c r="T191">
        <f>IF(S191="G",1,0)</f>
        <v>0</v>
      </c>
      <c r="U191">
        <f>IF(S191="K",1,0)</f>
        <v>0</v>
      </c>
      <c r="V191">
        <f>IF(S191="M",1,0)</f>
        <v>1</v>
      </c>
      <c r="W191">
        <f>IF(S191="F",1,0)</f>
        <v>0</v>
      </c>
    </row>
    <row r="192" spans="1:23" x14ac:dyDescent="0.3">
      <c r="A192" t="s">
        <v>586</v>
      </c>
      <c r="B192">
        <v>2.6614652799999998</v>
      </c>
      <c r="C192">
        <v>10.6</v>
      </c>
      <c r="D192">
        <v>9.6141900000000007</v>
      </c>
      <c r="E192">
        <v>8.5000000000000006E-2</v>
      </c>
      <c r="F192">
        <v>759</v>
      </c>
      <c r="G192">
        <f>IF(OR(C192="",B192="",B192=0),"",5.51*(C192/(B192^3)))</f>
        <v>3.0980972709110044</v>
      </c>
      <c r="H192">
        <v>5457</v>
      </c>
      <c r="I192">
        <v>0.56487008392356353</v>
      </c>
      <c r="J192">
        <v>-7.9000000000000001E-2</v>
      </c>
      <c r="L192">
        <f>IF(AND(B192&gt;=0.8,B192&lt;=1.5),1,IF(AND(B192&gt;=0.5,B192&lt;=2),0.5,0))</f>
        <v>0</v>
      </c>
      <c r="M192">
        <f>IF(AND(C192&gt;=0.5,C192&lt;=2),1,IF(AND(C192&gt;=0.1,C192&lt;=5),0.5,0))</f>
        <v>0</v>
      </c>
      <c r="N192">
        <f>IF(AND(G192&gt;=4,G192&lt;=7),1,IF(AND(G192&gt;=3,G192&lt;=8),0.5,0))</f>
        <v>0.5</v>
      </c>
      <c r="O192">
        <f>IF(AND(F192&gt;=270,F192&lt;=310),1,IF(AND(F192&gt;=250,F192&lt;=330),0.5,0))</f>
        <v>0</v>
      </c>
      <c r="P192">
        <f>IF(AND(E192&gt;=0.8,E192&lt;=1.5),1,IF(AND(E192&gt;=0.5,E192&lt;=2),0.5,0))</f>
        <v>0</v>
      </c>
      <c r="Q192">
        <f>IF(AND(H192&gt;=5000,H192&lt;=6000),1,IF(AND(H192&gt;=4000,H192&lt;5000),0.5,0))</f>
        <v>1</v>
      </c>
      <c r="R192">
        <f>0.35*AVERAGE(L192:M192:N192)+0.3*O192+0.2*P192+0.15*Q192</f>
        <v>0.20833333333333331</v>
      </c>
      <c r="S192" t="str">
        <f>LEFT(K192,1)</f>
        <v/>
      </c>
      <c r="T192">
        <f>IF(S192="G",1,0)</f>
        <v>0</v>
      </c>
      <c r="U192">
        <f>IF(S192="K",1,0)</f>
        <v>0</v>
      </c>
      <c r="V192">
        <f>IF(S192="M",1,0)</f>
        <v>0</v>
      </c>
      <c r="W192">
        <f>IF(S192="F",1,0)</f>
        <v>0</v>
      </c>
    </row>
    <row r="193" spans="1:23" x14ac:dyDescent="0.3">
      <c r="A193" t="s">
        <v>585</v>
      </c>
      <c r="B193">
        <v>2.2189800000000002</v>
      </c>
      <c r="D193">
        <v>4.9404681000000004</v>
      </c>
      <c r="E193">
        <v>5.3810190000000001E-2</v>
      </c>
      <c r="F193">
        <v>1344.51</v>
      </c>
      <c r="G193" t="str">
        <f>IF(OR(C193="",B193="",B193=0),"",5.51*(C193/(B193^3)))</f>
        <v/>
      </c>
      <c r="H193">
        <v>6086</v>
      </c>
      <c r="I193">
        <v>1.5717176456870086</v>
      </c>
      <c r="L193">
        <f>IF(AND(B193&gt;=0.8,B193&lt;=1.5),1,IF(AND(B193&gt;=0.5,B193&lt;=2),0.5,0))</f>
        <v>0</v>
      </c>
      <c r="M193">
        <f>IF(AND(C193&gt;=0.5,C193&lt;=2),1,IF(AND(C193&gt;=0.1,C193&lt;=5),0.5,0))</f>
        <v>0</v>
      </c>
      <c r="N193">
        <f>IF(AND(G193&gt;=4,G193&lt;=7),1,IF(AND(G193&gt;=3,G193&lt;=8),0.5,0))</f>
        <v>0</v>
      </c>
      <c r="O193">
        <f>IF(AND(F193&gt;=270,F193&lt;=310),1,IF(AND(F193&gt;=250,F193&lt;=330),0.5,0))</f>
        <v>0</v>
      </c>
      <c r="P193">
        <f>IF(AND(E193&gt;=0.8,E193&lt;=1.5),1,IF(AND(E193&gt;=0.5,E193&lt;=2),0.5,0))</f>
        <v>0</v>
      </c>
      <c r="Q193">
        <f>IF(AND(H193&gt;=5000,H193&lt;=6000),1,IF(AND(H193&gt;=4000,H193&lt;5000),0.5,0))</f>
        <v>0</v>
      </c>
      <c r="R193">
        <f>0.35*AVERAGE(L193:M193:N193)+0.3*O193+0.2*P193+0.15*Q193</f>
        <v>0</v>
      </c>
      <c r="S193" t="str">
        <f>LEFT(K193,1)</f>
        <v/>
      </c>
      <c r="T193">
        <f>IF(S193="G",1,0)</f>
        <v>0</v>
      </c>
      <c r="U193">
        <f>IF(S193="K",1,0)</f>
        <v>0</v>
      </c>
      <c r="V193">
        <f>IF(S193="M",1,0)</f>
        <v>0</v>
      </c>
      <c r="W193">
        <f>IF(S193="F",1,0)</f>
        <v>0</v>
      </c>
    </row>
    <row r="194" spans="1:23" x14ac:dyDescent="0.3">
      <c r="A194" t="s">
        <v>584</v>
      </c>
      <c r="B194">
        <v>4.9684655099999997</v>
      </c>
      <c r="C194">
        <v>44.1</v>
      </c>
      <c r="D194">
        <v>2.6998278999999998</v>
      </c>
      <c r="E194">
        <v>3.7400000000000003E-2</v>
      </c>
      <c r="F194">
        <v>1203.44</v>
      </c>
      <c r="G194">
        <f>IF(OR(C194="",B194="",B194=0),"",5.51*(C194/(B194^3)))</f>
        <v>1.9811773314153533</v>
      </c>
      <c r="H194">
        <v>5388</v>
      </c>
      <c r="I194">
        <v>0.69438954685012555</v>
      </c>
      <c r="J194">
        <v>0.25700000000000001</v>
      </c>
      <c r="L194">
        <f>IF(AND(B194&gt;=0.8,B194&lt;=1.5),1,IF(AND(B194&gt;=0.5,B194&lt;=2),0.5,0))</f>
        <v>0</v>
      </c>
      <c r="M194">
        <f>IF(AND(C194&gt;=0.5,C194&lt;=2),1,IF(AND(C194&gt;=0.1,C194&lt;=5),0.5,0))</f>
        <v>0</v>
      </c>
      <c r="N194">
        <f>IF(AND(G194&gt;=4,G194&lt;=7),1,IF(AND(G194&gt;=3,G194&lt;=8),0.5,0))</f>
        <v>0</v>
      </c>
      <c r="O194">
        <f>IF(AND(F194&gt;=270,F194&lt;=310),1,IF(AND(F194&gt;=250,F194&lt;=330),0.5,0))</f>
        <v>0</v>
      </c>
      <c r="P194">
        <f>IF(AND(E194&gt;=0.8,E194&lt;=1.5),1,IF(AND(E194&gt;=0.5,E194&lt;=2),0.5,0))</f>
        <v>0</v>
      </c>
      <c r="Q194">
        <f>IF(AND(H194&gt;=5000,H194&lt;=6000),1,IF(AND(H194&gt;=4000,H194&lt;5000),0.5,0))</f>
        <v>1</v>
      </c>
      <c r="R194">
        <f>0.35*AVERAGE(L194:M194:N194)+0.3*O194+0.2*P194+0.15*Q194</f>
        <v>0.15</v>
      </c>
      <c r="S194" t="str">
        <f>LEFT(K194,1)</f>
        <v/>
      </c>
      <c r="T194">
        <f>IF(S194="G",1,0)</f>
        <v>0</v>
      </c>
      <c r="U194">
        <f>IF(S194="K",1,0)</f>
        <v>0</v>
      </c>
      <c r="V194">
        <f>IF(S194="M",1,0)</f>
        <v>0</v>
      </c>
      <c r="W194">
        <f>IF(S194="F",1,0)</f>
        <v>0</v>
      </c>
    </row>
    <row r="195" spans="1:23" x14ac:dyDescent="0.3">
      <c r="A195" t="s">
        <v>583</v>
      </c>
      <c r="B195">
        <v>10.12369881</v>
      </c>
      <c r="C195">
        <v>63.9</v>
      </c>
      <c r="D195">
        <v>3.915292</v>
      </c>
      <c r="E195">
        <v>5.0999999999999997E-2</v>
      </c>
      <c r="F195">
        <v>1392.74</v>
      </c>
      <c r="G195">
        <f>IF(OR(C195="",B195="",B195=0),"",5.51*(C195/(B195^3)))</f>
        <v>0.33933980742154285</v>
      </c>
      <c r="H195">
        <v>5718</v>
      </c>
      <c r="I195">
        <v>2.3239164293493011</v>
      </c>
      <c r="J195">
        <v>0.28299999999999997</v>
      </c>
      <c r="L195">
        <f>IF(AND(B195&gt;=0.8,B195&lt;=1.5),1,IF(AND(B195&gt;=0.5,B195&lt;=2),0.5,0))</f>
        <v>0</v>
      </c>
      <c r="M195">
        <f>IF(AND(C195&gt;=0.5,C195&lt;=2),1,IF(AND(C195&gt;=0.1,C195&lt;=5),0.5,0))</f>
        <v>0</v>
      </c>
      <c r="N195">
        <f>IF(AND(G195&gt;=4,G195&lt;=7),1,IF(AND(G195&gt;=3,G195&lt;=8),0.5,0))</f>
        <v>0</v>
      </c>
      <c r="O195">
        <f>IF(AND(F195&gt;=270,F195&lt;=310),1,IF(AND(F195&gt;=250,F195&lt;=330),0.5,0))</f>
        <v>0</v>
      </c>
      <c r="P195">
        <f>IF(AND(E195&gt;=0.8,E195&lt;=1.5),1,IF(AND(E195&gt;=0.5,E195&lt;=2),0.5,0))</f>
        <v>0</v>
      </c>
      <c r="Q195">
        <f>IF(AND(H195&gt;=5000,H195&lt;=6000),1,IF(AND(H195&gt;=4000,H195&lt;5000),0.5,0))</f>
        <v>1</v>
      </c>
      <c r="R195">
        <f>0.35*AVERAGE(L195:M195:N195)+0.3*O195+0.2*P195+0.15*Q195</f>
        <v>0.15</v>
      </c>
      <c r="S195" t="str">
        <f>LEFT(K195,1)</f>
        <v/>
      </c>
      <c r="T195">
        <f>IF(S195="G",1,0)</f>
        <v>0</v>
      </c>
      <c r="U195">
        <f>IF(S195="K",1,0)</f>
        <v>0</v>
      </c>
      <c r="V195">
        <f>IF(S195="M",1,0)</f>
        <v>0</v>
      </c>
      <c r="W195">
        <f>IF(S195="F",1,0)</f>
        <v>0</v>
      </c>
    </row>
    <row r="196" spans="1:23" x14ac:dyDescent="0.3">
      <c r="A196" t="s">
        <v>582</v>
      </c>
      <c r="B196">
        <v>15.69257298</v>
      </c>
      <c r="C196">
        <v>451.31633793999998</v>
      </c>
      <c r="D196">
        <v>3.1968838000000002</v>
      </c>
      <c r="E196">
        <v>4.7E-2</v>
      </c>
      <c r="F196">
        <v>2360</v>
      </c>
      <c r="G196">
        <f>IF(OR(C196="",B196="",B196=0),"",5.51*(C196/(B196^3)))</f>
        <v>0.64350241811945519</v>
      </c>
      <c r="H196">
        <v>6280</v>
      </c>
      <c r="I196">
        <v>4.0329818514495459</v>
      </c>
      <c r="J196">
        <v>0.26</v>
      </c>
      <c r="K196" t="s">
        <v>18</v>
      </c>
      <c r="L196">
        <f>IF(AND(B196&gt;=0.8,B196&lt;=1.5),1,IF(AND(B196&gt;=0.5,B196&lt;=2),0.5,0))</f>
        <v>0</v>
      </c>
      <c r="M196">
        <f>IF(AND(C196&gt;=0.5,C196&lt;=2),1,IF(AND(C196&gt;=0.1,C196&lt;=5),0.5,0))</f>
        <v>0</v>
      </c>
      <c r="N196">
        <f>IF(AND(G196&gt;=4,G196&lt;=7),1,IF(AND(G196&gt;=3,G196&lt;=8),0.5,0))</f>
        <v>0</v>
      </c>
      <c r="O196">
        <f>IF(AND(F196&gt;=270,F196&lt;=310),1,IF(AND(F196&gt;=250,F196&lt;=330),0.5,0))</f>
        <v>0</v>
      </c>
      <c r="P196">
        <f>IF(AND(E196&gt;=0.8,E196&lt;=1.5),1,IF(AND(E196&gt;=0.5,E196&lt;=2),0.5,0))</f>
        <v>0</v>
      </c>
      <c r="Q196">
        <f>IF(AND(H196&gt;=5000,H196&lt;=6000),1,IF(AND(H196&gt;=4000,H196&lt;5000),0.5,0))</f>
        <v>0</v>
      </c>
      <c r="R196">
        <f>0.35*AVERAGE(L196:M196:N196)+0.3*O196+0.2*P196+0.15*Q196</f>
        <v>0</v>
      </c>
      <c r="S196" t="str">
        <f>LEFT(K196,1)</f>
        <v>F</v>
      </c>
      <c r="T196">
        <f>IF(S196="G",1,0)</f>
        <v>0</v>
      </c>
      <c r="U196">
        <f>IF(S196="K",1,0)</f>
        <v>0</v>
      </c>
      <c r="V196">
        <f>IF(S196="M",1,0)</f>
        <v>0</v>
      </c>
      <c r="W196">
        <f>IF(S196="F",1,0)</f>
        <v>1</v>
      </c>
    </row>
    <row r="197" spans="1:23" x14ac:dyDescent="0.3">
      <c r="A197" t="s">
        <v>581</v>
      </c>
      <c r="B197">
        <v>14.11645916</v>
      </c>
      <c r="C197">
        <v>95.3</v>
      </c>
      <c r="D197">
        <v>3.9443736</v>
      </c>
      <c r="E197">
        <v>5.0999999999999997E-2</v>
      </c>
      <c r="F197">
        <v>1414.84</v>
      </c>
      <c r="G197">
        <f>IF(OR(C197="",B197="",B197=0),"",5.51*(C197/(B197^3)))</f>
        <v>0.18666683821515304</v>
      </c>
      <c r="H197">
        <v>5567</v>
      </c>
      <c r="I197">
        <v>2.4995108890532962</v>
      </c>
      <c r="J197">
        <v>0.40500000000000003</v>
      </c>
      <c r="L197">
        <f>IF(AND(B197&gt;=0.8,B197&lt;=1.5),1,IF(AND(B197&gt;=0.5,B197&lt;=2),0.5,0))</f>
        <v>0</v>
      </c>
      <c r="M197">
        <f>IF(AND(C197&gt;=0.5,C197&lt;=2),1,IF(AND(C197&gt;=0.1,C197&lt;=5),0.5,0))</f>
        <v>0</v>
      </c>
      <c r="N197">
        <f>IF(AND(G197&gt;=4,G197&lt;=7),1,IF(AND(G197&gt;=3,G197&lt;=8),0.5,0))</f>
        <v>0</v>
      </c>
      <c r="O197">
        <f>IF(AND(F197&gt;=270,F197&lt;=310),1,IF(AND(F197&gt;=250,F197&lt;=330),0.5,0))</f>
        <v>0</v>
      </c>
      <c r="P197">
        <f>IF(AND(E197&gt;=0.8,E197&lt;=1.5),1,IF(AND(E197&gt;=0.5,E197&lt;=2),0.5,0))</f>
        <v>0</v>
      </c>
      <c r="Q197">
        <f>IF(AND(H197&gt;=5000,H197&lt;=6000),1,IF(AND(H197&gt;=4000,H197&lt;5000),0.5,0))</f>
        <v>1</v>
      </c>
      <c r="R197">
        <f>0.35*AVERAGE(L197:M197:N197)+0.3*O197+0.2*P197+0.15*Q197</f>
        <v>0.15</v>
      </c>
      <c r="S197" t="str">
        <f>LEFT(K197,1)</f>
        <v/>
      </c>
      <c r="T197">
        <f>IF(S197="G",1,0)</f>
        <v>0</v>
      </c>
      <c r="U197">
        <f>IF(S197="K",1,0)</f>
        <v>0</v>
      </c>
      <c r="V197">
        <f>IF(S197="M",1,0)</f>
        <v>0</v>
      </c>
      <c r="W197">
        <f>IF(S197="F",1,0)</f>
        <v>0</v>
      </c>
    </row>
    <row r="198" spans="1:23" x14ac:dyDescent="0.3">
      <c r="A198" t="s">
        <v>580</v>
      </c>
      <c r="B198">
        <v>9.6580703299999993</v>
      </c>
      <c r="C198">
        <v>99</v>
      </c>
      <c r="D198">
        <v>4.5371430000000004</v>
      </c>
      <c r="E198">
        <v>5.7000000000000002E-2</v>
      </c>
      <c r="F198">
        <v>1278</v>
      </c>
      <c r="G198">
        <f>IF(OR(C198="",B198="",B198=0),"",5.51*(C198/(B198^3)))</f>
        <v>0.60550216822428682</v>
      </c>
      <c r="H198">
        <v>5752</v>
      </c>
      <c r="I198">
        <v>2.0751772042989383</v>
      </c>
      <c r="J198">
        <v>0.39700000000000002</v>
      </c>
      <c r="L198">
        <f>IF(AND(B198&gt;=0.8,B198&lt;=1.5),1,IF(AND(B198&gt;=0.5,B198&lt;=2),0.5,0))</f>
        <v>0</v>
      </c>
      <c r="M198">
        <f>IF(AND(C198&gt;=0.5,C198&lt;=2),1,IF(AND(C198&gt;=0.1,C198&lt;=5),0.5,0))</f>
        <v>0</v>
      </c>
      <c r="N198">
        <f>IF(AND(G198&gt;=4,G198&lt;=7),1,IF(AND(G198&gt;=3,G198&lt;=8),0.5,0))</f>
        <v>0</v>
      </c>
      <c r="O198">
        <f>IF(AND(F198&gt;=270,F198&lt;=310),1,IF(AND(F198&gt;=250,F198&lt;=330),0.5,0))</f>
        <v>0</v>
      </c>
      <c r="P198">
        <f>IF(AND(E198&gt;=0.8,E198&lt;=1.5),1,IF(AND(E198&gt;=0.5,E198&lt;=2),0.5,0))</f>
        <v>0</v>
      </c>
      <c r="Q198">
        <f>IF(AND(H198&gt;=5000,H198&lt;=6000),1,IF(AND(H198&gt;=4000,H198&lt;5000),0.5,0))</f>
        <v>1</v>
      </c>
      <c r="R198">
        <f>0.35*AVERAGE(L198:M198:N198)+0.3*O198+0.2*P198+0.15*Q198</f>
        <v>0.15</v>
      </c>
      <c r="S198" t="str">
        <f>LEFT(K198,1)</f>
        <v/>
      </c>
      <c r="T198">
        <f>IF(S198="G",1,0)</f>
        <v>0</v>
      </c>
      <c r="U198">
        <f>IF(S198="K",1,0)</f>
        <v>0</v>
      </c>
      <c r="V198">
        <f>IF(S198="M",1,0)</f>
        <v>0</v>
      </c>
      <c r="W198">
        <f>IF(S198="F",1,0)</f>
        <v>0</v>
      </c>
    </row>
    <row r="199" spans="1:23" x14ac:dyDescent="0.3">
      <c r="A199" t="s">
        <v>579</v>
      </c>
      <c r="B199">
        <v>2.4769999999999999</v>
      </c>
      <c r="D199">
        <v>6.0964072089999997</v>
      </c>
      <c r="E199">
        <v>5.9866000000000003E-2</v>
      </c>
      <c r="G199" t="str">
        <f>IF(OR(C199="",B199="",B199=0),"",5.51*(C199/(B199^3)))</f>
        <v/>
      </c>
      <c r="H199">
        <v>4820</v>
      </c>
      <c r="I199">
        <v>0.25947777488278062</v>
      </c>
      <c r="L199">
        <f>IF(AND(B199&gt;=0.8,B199&lt;=1.5),1,IF(AND(B199&gt;=0.5,B199&lt;=2),0.5,0))</f>
        <v>0</v>
      </c>
      <c r="M199">
        <f>IF(AND(C199&gt;=0.5,C199&lt;=2),1,IF(AND(C199&gt;=0.1,C199&lt;=5),0.5,0))</f>
        <v>0</v>
      </c>
      <c r="N199">
        <f>IF(AND(G199&gt;=4,G199&lt;=7),1,IF(AND(G199&gt;=3,G199&lt;=8),0.5,0))</f>
        <v>0</v>
      </c>
      <c r="O199">
        <f>IF(AND(F199&gt;=270,F199&lt;=310),1,IF(AND(F199&gt;=250,F199&lt;=330),0.5,0))</f>
        <v>0</v>
      </c>
      <c r="P199">
        <f>IF(AND(E199&gt;=0.8,E199&lt;=1.5),1,IF(AND(E199&gt;=0.5,E199&lt;=2),0.5,0))</f>
        <v>0</v>
      </c>
      <c r="Q199">
        <f>IF(AND(H199&gt;=5000,H199&lt;=6000),1,IF(AND(H199&gt;=4000,H199&lt;5000),0.5,0))</f>
        <v>0.5</v>
      </c>
      <c r="R199">
        <f>0.35*AVERAGE(L199:M199:N199)+0.3*O199+0.2*P199+0.15*Q199</f>
        <v>7.4999999999999997E-2</v>
      </c>
      <c r="S199" t="str">
        <f>LEFT(K199,1)</f>
        <v/>
      </c>
      <c r="T199">
        <f>IF(S199="G",1,0)</f>
        <v>0</v>
      </c>
      <c r="U199">
        <f>IF(S199="K",1,0)</f>
        <v>0</v>
      </c>
      <c r="V199">
        <f>IF(S199="M",1,0)</f>
        <v>0</v>
      </c>
      <c r="W199">
        <f>IF(S199="F",1,0)</f>
        <v>0</v>
      </c>
    </row>
    <row r="200" spans="1:23" x14ac:dyDescent="0.3">
      <c r="A200" t="s">
        <v>578</v>
      </c>
      <c r="B200">
        <v>3.42</v>
      </c>
      <c r="C200">
        <v>22.4</v>
      </c>
      <c r="D200">
        <v>2.1097019000000001</v>
      </c>
      <c r="E200">
        <v>2.5999999999999999E-2</v>
      </c>
      <c r="F200">
        <v>1395</v>
      </c>
      <c r="G200">
        <f>IF(OR(C200="",B200="",B200=0),"",5.51*(C200/(B200^3)))</f>
        <v>3.0854697931747279</v>
      </c>
      <c r="H200">
        <v>5397</v>
      </c>
      <c r="I200">
        <v>0.61657305429585629</v>
      </c>
      <c r="J200">
        <v>0.16</v>
      </c>
      <c r="K200" t="s">
        <v>577</v>
      </c>
      <c r="L200">
        <f>IF(AND(B200&gt;=0.8,B200&lt;=1.5),1,IF(AND(B200&gt;=0.5,B200&lt;=2),0.5,0))</f>
        <v>0</v>
      </c>
      <c r="M200">
        <f>IF(AND(C200&gt;=0.5,C200&lt;=2),1,IF(AND(C200&gt;=0.1,C200&lt;=5),0.5,0))</f>
        <v>0</v>
      </c>
      <c r="N200">
        <f>IF(AND(G200&gt;=4,G200&lt;=7),1,IF(AND(G200&gt;=3,G200&lt;=8),0.5,0))</f>
        <v>0.5</v>
      </c>
      <c r="O200">
        <f>IF(AND(F200&gt;=270,F200&lt;=310),1,IF(AND(F200&gt;=250,F200&lt;=330),0.5,0))</f>
        <v>0</v>
      </c>
      <c r="P200">
        <f>IF(AND(E200&gt;=0.8,E200&lt;=1.5),1,IF(AND(E200&gt;=0.5,E200&lt;=2),0.5,0))</f>
        <v>0</v>
      </c>
      <c r="Q200">
        <f>IF(AND(H200&gt;=5000,H200&lt;=6000),1,IF(AND(H200&gt;=4000,H200&lt;5000),0.5,0))</f>
        <v>1</v>
      </c>
      <c r="R200">
        <f>0.35*AVERAGE(L200:M200:N200)+0.3*O200+0.2*P200+0.15*Q200</f>
        <v>0.20833333333333331</v>
      </c>
      <c r="S200" t="str">
        <f>LEFT(K200,1)</f>
        <v>G</v>
      </c>
      <c r="T200">
        <f>IF(S200="G",1,0)</f>
        <v>1</v>
      </c>
      <c r="U200">
        <f>IF(S200="K",1,0)</f>
        <v>0</v>
      </c>
      <c r="V200">
        <f>IF(S200="M",1,0)</f>
        <v>0</v>
      </c>
      <c r="W200">
        <f>IF(S200="F",1,0)</f>
        <v>0</v>
      </c>
    </row>
    <row r="201" spans="1:23" x14ac:dyDescent="0.3">
      <c r="A201" t="s">
        <v>576</v>
      </c>
      <c r="B201">
        <v>15.647764</v>
      </c>
      <c r="C201">
        <v>753.25710000000004</v>
      </c>
      <c r="D201">
        <v>4.7202190000000002</v>
      </c>
      <c r="E201">
        <v>6.2600000000000003E-2</v>
      </c>
      <c r="F201">
        <v>1679</v>
      </c>
      <c r="G201">
        <f>IF(OR(C201="",B201="",B201=0),"",5.51*(C201/(B201^3)))</f>
        <v>1.0832731289093476</v>
      </c>
      <c r="H201">
        <v>6274</v>
      </c>
      <c r="I201">
        <v>5.1514486499714387</v>
      </c>
      <c r="J201">
        <v>0.11899999999999999</v>
      </c>
      <c r="L201">
        <f>IF(AND(B201&gt;=0.8,B201&lt;=1.5),1,IF(AND(B201&gt;=0.5,B201&lt;=2),0.5,0))</f>
        <v>0</v>
      </c>
      <c r="M201">
        <f>IF(AND(C201&gt;=0.5,C201&lt;=2),1,IF(AND(C201&gt;=0.1,C201&lt;=5),0.5,0))</f>
        <v>0</v>
      </c>
      <c r="N201">
        <f>IF(AND(G201&gt;=4,G201&lt;=7),1,IF(AND(G201&gt;=3,G201&lt;=8),0.5,0))</f>
        <v>0</v>
      </c>
      <c r="O201">
        <f>IF(AND(F201&gt;=270,F201&lt;=310),1,IF(AND(F201&gt;=250,F201&lt;=330),0.5,0))</f>
        <v>0</v>
      </c>
      <c r="P201">
        <f>IF(AND(E201&gt;=0.8,E201&lt;=1.5),1,IF(AND(E201&gt;=0.5,E201&lt;=2),0.5,0))</f>
        <v>0</v>
      </c>
      <c r="Q201">
        <f>IF(AND(H201&gt;=5000,H201&lt;=6000),1,IF(AND(H201&gt;=4000,H201&lt;5000),0.5,0))</f>
        <v>0</v>
      </c>
      <c r="R201">
        <f>0.35*AVERAGE(L201:M201:N201)+0.3*O201+0.2*P201+0.15*Q201</f>
        <v>0</v>
      </c>
      <c r="S201" t="str">
        <f>LEFT(K201,1)</f>
        <v/>
      </c>
      <c r="T201">
        <f>IF(S201="G",1,0)</f>
        <v>0</v>
      </c>
      <c r="U201">
        <f>IF(S201="K",1,0)</f>
        <v>0</v>
      </c>
      <c r="V201">
        <f>IF(S201="M",1,0)</f>
        <v>0</v>
      </c>
      <c r="W201">
        <f>IF(S201="F",1,0)</f>
        <v>0</v>
      </c>
    </row>
    <row r="202" spans="1:23" x14ac:dyDescent="0.3">
      <c r="A202" t="s">
        <v>575</v>
      </c>
      <c r="B202">
        <v>2.39</v>
      </c>
      <c r="D202">
        <v>1.7622538000000001</v>
      </c>
      <c r="F202">
        <v>1324</v>
      </c>
      <c r="G202" t="str">
        <f>IF(OR(C202="",B202="",B202=0),"",5.51*(C202/(B202^3)))</f>
        <v/>
      </c>
      <c r="H202">
        <v>5099</v>
      </c>
      <c r="I202">
        <v>0.36899382906552886</v>
      </c>
      <c r="J202">
        <v>-0.01</v>
      </c>
      <c r="L202">
        <f>IF(AND(B202&gt;=0.8,B202&lt;=1.5),1,IF(AND(B202&gt;=0.5,B202&lt;=2),0.5,0))</f>
        <v>0</v>
      </c>
      <c r="M202">
        <f>IF(AND(C202&gt;=0.5,C202&lt;=2),1,IF(AND(C202&gt;=0.1,C202&lt;=5),0.5,0))</f>
        <v>0</v>
      </c>
      <c r="N202">
        <f>IF(AND(G202&gt;=4,G202&lt;=7),1,IF(AND(G202&gt;=3,G202&lt;=8),0.5,0))</f>
        <v>0</v>
      </c>
      <c r="O202">
        <f>IF(AND(F202&gt;=270,F202&lt;=310),1,IF(AND(F202&gt;=250,F202&lt;=330),0.5,0))</f>
        <v>0</v>
      </c>
      <c r="P202">
        <f>IF(AND(E202&gt;=0.8,E202&lt;=1.5),1,IF(AND(E202&gt;=0.5,E202&lt;=2),0.5,0))</f>
        <v>0</v>
      </c>
      <c r="Q202">
        <f>IF(AND(H202&gt;=5000,H202&lt;=6000),1,IF(AND(H202&gt;=4000,H202&lt;5000),0.5,0))</f>
        <v>1</v>
      </c>
      <c r="R202">
        <f>0.35*AVERAGE(L202:M202:N202)+0.3*O202+0.2*P202+0.15*Q202</f>
        <v>0.15</v>
      </c>
      <c r="S202" t="str">
        <f>LEFT(K202,1)</f>
        <v/>
      </c>
      <c r="T202">
        <f>IF(S202="G",1,0)</f>
        <v>0</v>
      </c>
      <c r="U202">
        <f>IF(S202="K",1,0)</f>
        <v>0</v>
      </c>
      <c r="V202">
        <f>IF(S202="M",1,0)</f>
        <v>0</v>
      </c>
      <c r="W202">
        <f>IF(S202="F",1,0)</f>
        <v>0</v>
      </c>
    </row>
    <row r="203" spans="1:23" x14ac:dyDescent="0.3">
      <c r="A203" t="s">
        <v>574</v>
      </c>
      <c r="B203">
        <v>2.23</v>
      </c>
      <c r="D203">
        <v>5.5025579999999996</v>
      </c>
      <c r="F203">
        <v>928</v>
      </c>
      <c r="G203" t="str">
        <f>IF(OR(C203="",B203="",B203=0),"",5.51*(C203/(B203^3)))</f>
        <v/>
      </c>
      <c r="H203">
        <v>5099</v>
      </c>
      <c r="I203">
        <v>0.36899382906552886</v>
      </c>
      <c r="J203">
        <v>-0.01</v>
      </c>
      <c r="L203">
        <f>IF(AND(B203&gt;=0.8,B203&lt;=1.5),1,IF(AND(B203&gt;=0.5,B203&lt;=2),0.5,0))</f>
        <v>0</v>
      </c>
      <c r="M203">
        <f>IF(AND(C203&gt;=0.5,C203&lt;=2),1,IF(AND(C203&gt;=0.1,C203&lt;=5),0.5,0))</f>
        <v>0</v>
      </c>
      <c r="N203">
        <f>IF(AND(G203&gt;=4,G203&lt;=7),1,IF(AND(G203&gt;=3,G203&lt;=8),0.5,0))</f>
        <v>0</v>
      </c>
      <c r="O203">
        <f>IF(AND(F203&gt;=270,F203&lt;=310),1,IF(AND(F203&gt;=250,F203&lt;=330),0.5,0))</f>
        <v>0</v>
      </c>
      <c r="P203">
        <f>IF(AND(E203&gt;=0.8,E203&lt;=1.5),1,IF(AND(E203&gt;=0.5,E203&lt;=2),0.5,0))</f>
        <v>0</v>
      </c>
      <c r="Q203">
        <f>IF(AND(H203&gt;=5000,H203&lt;=6000),1,IF(AND(H203&gt;=4000,H203&lt;5000),0.5,0))</f>
        <v>1</v>
      </c>
      <c r="R203">
        <f>0.35*AVERAGE(L203:M203:N203)+0.3*O203+0.2*P203+0.15*Q203</f>
        <v>0.15</v>
      </c>
      <c r="S203" t="str">
        <f>LEFT(K203,1)</f>
        <v/>
      </c>
      <c r="T203">
        <f>IF(S203="G",1,0)</f>
        <v>0</v>
      </c>
      <c r="U203">
        <f>IF(S203="K",1,0)</f>
        <v>0</v>
      </c>
      <c r="V203">
        <f>IF(S203="M",1,0)</f>
        <v>0</v>
      </c>
      <c r="W203">
        <f>IF(S203="F",1,0)</f>
        <v>0</v>
      </c>
    </row>
    <row r="204" spans="1:23" x14ac:dyDescent="0.3">
      <c r="A204" t="s">
        <v>573</v>
      </c>
      <c r="B204">
        <v>1.8</v>
      </c>
      <c r="C204">
        <v>11.1</v>
      </c>
      <c r="D204">
        <v>0.84742346000000002</v>
      </c>
      <c r="F204">
        <v>1400</v>
      </c>
      <c r="G204">
        <f>IF(OR(C204="",B204="",B204=0),"",5.51*(C204/(B204^3)))</f>
        <v>10.487139917695471</v>
      </c>
      <c r="H204">
        <v>5464</v>
      </c>
      <c r="I204">
        <v>0.5509203280442001</v>
      </c>
      <c r="J204">
        <v>0.04</v>
      </c>
      <c r="L204">
        <f>IF(AND(B204&gt;=0.8,B204&lt;=1.5),1,IF(AND(B204&gt;=0.5,B204&lt;=2),0.5,0))</f>
        <v>0.5</v>
      </c>
      <c r="M204">
        <f>IF(AND(C204&gt;=0.5,C204&lt;=2),1,IF(AND(C204&gt;=0.1,C204&lt;=5),0.5,0))</f>
        <v>0</v>
      </c>
      <c r="N204">
        <f>IF(AND(G204&gt;=4,G204&lt;=7),1,IF(AND(G204&gt;=3,G204&lt;=8),0.5,0))</f>
        <v>0</v>
      </c>
      <c r="O204">
        <f>IF(AND(F204&gt;=270,F204&lt;=310),1,IF(AND(F204&gt;=250,F204&lt;=330),0.5,0))</f>
        <v>0</v>
      </c>
      <c r="P204">
        <f>IF(AND(E204&gt;=0.8,E204&lt;=1.5),1,IF(AND(E204&gt;=0.5,E204&lt;=2),0.5,0))</f>
        <v>0</v>
      </c>
      <c r="Q204">
        <f>IF(AND(H204&gt;=5000,H204&lt;=6000),1,IF(AND(H204&gt;=4000,H204&lt;5000),0.5,0))</f>
        <v>1</v>
      </c>
      <c r="R204">
        <f>0.35*AVERAGE(L204:M204:N204)+0.3*O204+0.2*P204+0.15*Q204</f>
        <v>0.20833333333333331</v>
      </c>
      <c r="S204" t="str">
        <f>LEFT(K204,1)</f>
        <v/>
      </c>
      <c r="T204">
        <f>IF(S204="G",1,0)</f>
        <v>0</v>
      </c>
      <c r="U204">
        <f>IF(S204="K",1,0)</f>
        <v>0</v>
      </c>
      <c r="V204">
        <f>IF(S204="M",1,0)</f>
        <v>0</v>
      </c>
      <c r="W204">
        <f>IF(S204="F",1,0)</f>
        <v>0</v>
      </c>
    </row>
    <row r="205" spans="1:23" x14ac:dyDescent="0.3">
      <c r="A205" t="s">
        <v>572</v>
      </c>
      <c r="B205">
        <v>1.6</v>
      </c>
      <c r="C205">
        <v>6.4</v>
      </c>
      <c r="D205">
        <v>4.8419619999999997</v>
      </c>
      <c r="F205">
        <v>1000</v>
      </c>
      <c r="G205">
        <f>IF(OR(C205="",B205="",B205=0),"",5.51*(C205/(B205^3)))</f>
        <v>8.6093749999999982</v>
      </c>
      <c r="H205">
        <v>5464</v>
      </c>
      <c r="I205">
        <v>0.5509203280442001</v>
      </c>
      <c r="J205">
        <v>0.04</v>
      </c>
      <c r="L205">
        <f>IF(AND(B205&gt;=0.8,B205&lt;=1.5),1,IF(AND(B205&gt;=0.5,B205&lt;=2),0.5,0))</f>
        <v>0.5</v>
      </c>
      <c r="M205">
        <f>IF(AND(C205&gt;=0.5,C205&lt;=2),1,IF(AND(C205&gt;=0.1,C205&lt;=5),0.5,0))</f>
        <v>0</v>
      </c>
      <c r="N205">
        <f>IF(AND(G205&gt;=4,G205&lt;=7),1,IF(AND(G205&gt;=3,G205&lt;=8),0.5,0))</f>
        <v>0</v>
      </c>
      <c r="O205">
        <f>IF(AND(F205&gt;=270,F205&lt;=310),1,IF(AND(F205&gt;=250,F205&lt;=330),0.5,0))</f>
        <v>0</v>
      </c>
      <c r="P205">
        <f>IF(AND(E205&gt;=0.8,E205&lt;=1.5),1,IF(AND(E205&gt;=0.5,E205&lt;=2),0.5,0))</f>
        <v>0</v>
      </c>
      <c r="Q205">
        <f>IF(AND(H205&gt;=5000,H205&lt;=6000),1,IF(AND(H205&gt;=4000,H205&lt;5000),0.5,0))</f>
        <v>1</v>
      </c>
      <c r="R205">
        <f>0.35*AVERAGE(L205:M205:N205)+0.3*O205+0.2*P205+0.15*Q205</f>
        <v>0.20833333333333331</v>
      </c>
      <c r="S205" t="str">
        <f>LEFT(K205,1)</f>
        <v/>
      </c>
      <c r="T205">
        <f>IF(S205="G",1,0)</f>
        <v>0</v>
      </c>
      <c r="U205">
        <f>IF(S205="K",1,0)</f>
        <v>0</v>
      </c>
      <c r="V205">
        <f>IF(S205="M",1,0)</f>
        <v>0</v>
      </c>
      <c r="W205">
        <f>IF(S205="F",1,0)</f>
        <v>0</v>
      </c>
    </row>
    <row r="206" spans="1:23" x14ac:dyDescent="0.3">
      <c r="A206" t="s">
        <v>571</v>
      </c>
      <c r="B206">
        <v>6.2163864999999996</v>
      </c>
      <c r="C206">
        <v>45.8</v>
      </c>
      <c r="D206">
        <v>25.8401</v>
      </c>
      <c r="E206">
        <v>0.17299999999999999</v>
      </c>
      <c r="F206">
        <v>615.03</v>
      </c>
      <c r="G206">
        <f>IF(OR(C206="",B206="",B206=0),"",5.51*(C206/(B206^3)))</f>
        <v>1.0505169182663796</v>
      </c>
      <c r="H206">
        <v>5735</v>
      </c>
      <c r="I206">
        <v>1.0167150046593976</v>
      </c>
      <c r="J206">
        <v>0.14899999999999999</v>
      </c>
      <c r="L206">
        <f>IF(AND(B206&gt;=0.8,B206&lt;=1.5),1,IF(AND(B206&gt;=0.5,B206&lt;=2),0.5,0))</f>
        <v>0</v>
      </c>
      <c r="M206">
        <f>IF(AND(C206&gt;=0.5,C206&lt;=2),1,IF(AND(C206&gt;=0.1,C206&lt;=5),0.5,0))</f>
        <v>0</v>
      </c>
      <c r="N206">
        <f>IF(AND(G206&gt;=4,G206&lt;=7),1,IF(AND(G206&gt;=3,G206&lt;=8),0.5,0))</f>
        <v>0</v>
      </c>
      <c r="O206">
        <f>IF(AND(F206&gt;=270,F206&lt;=310),1,IF(AND(F206&gt;=250,F206&lt;=330),0.5,0))</f>
        <v>0</v>
      </c>
      <c r="P206">
        <f>IF(AND(E206&gt;=0.8,E206&lt;=1.5),1,IF(AND(E206&gt;=0.5,E206&lt;=2),0.5,0))</f>
        <v>0</v>
      </c>
      <c r="Q206">
        <f>IF(AND(H206&gt;=5000,H206&lt;=6000),1,IF(AND(H206&gt;=4000,H206&lt;5000),0.5,0))</f>
        <v>1</v>
      </c>
      <c r="R206">
        <f>0.35*AVERAGE(L206:M206:N206)+0.3*O206+0.2*P206+0.15*Q206</f>
        <v>0.15</v>
      </c>
      <c r="S206" t="str">
        <f>LEFT(K206,1)</f>
        <v/>
      </c>
      <c r="T206">
        <f>IF(S206="G",1,0)</f>
        <v>0</v>
      </c>
      <c r="U206">
        <f>IF(S206="K",1,0)</f>
        <v>0</v>
      </c>
      <c r="V206">
        <f>IF(S206="M",1,0)</f>
        <v>0</v>
      </c>
      <c r="W206">
        <f>IF(S206="F",1,0)</f>
        <v>0</v>
      </c>
    </row>
    <row r="207" spans="1:23" x14ac:dyDescent="0.3">
      <c r="A207" t="s">
        <v>570</v>
      </c>
      <c r="B207">
        <v>2.4565999999999999</v>
      </c>
      <c r="D207">
        <v>11.07085</v>
      </c>
      <c r="F207">
        <v>561.16999999999996</v>
      </c>
      <c r="G207" t="str">
        <f>IF(OR(C207="",B207="",B207=0),"",5.51*(C207/(B207^3)))</f>
        <v/>
      </c>
      <c r="H207">
        <v>4570</v>
      </c>
      <c r="I207">
        <v>0.19214048616045334</v>
      </c>
      <c r="J207">
        <v>-0.23799999999999999</v>
      </c>
      <c r="L207">
        <f>IF(AND(B207&gt;=0.8,B207&lt;=1.5),1,IF(AND(B207&gt;=0.5,B207&lt;=2),0.5,0))</f>
        <v>0</v>
      </c>
      <c r="M207">
        <f>IF(AND(C207&gt;=0.5,C207&lt;=2),1,IF(AND(C207&gt;=0.1,C207&lt;=5),0.5,0))</f>
        <v>0</v>
      </c>
      <c r="N207">
        <f>IF(AND(G207&gt;=4,G207&lt;=7),1,IF(AND(G207&gt;=3,G207&lt;=8),0.5,0))</f>
        <v>0</v>
      </c>
      <c r="O207">
        <f>IF(AND(F207&gt;=270,F207&lt;=310),1,IF(AND(F207&gt;=250,F207&lt;=330),0.5,0))</f>
        <v>0</v>
      </c>
      <c r="P207">
        <f>IF(AND(E207&gt;=0.8,E207&lt;=1.5),1,IF(AND(E207&gt;=0.5,E207&lt;=2),0.5,0))</f>
        <v>0</v>
      </c>
      <c r="Q207">
        <f>IF(AND(H207&gt;=5000,H207&lt;=6000),1,IF(AND(H207&gt;=4000,H207&lt;5000),0.5,0))</f>
        <v>0.5</v>
      </c>
      <c r="R207">
        <f>0.35*AVERAGE(L207:M207:N207)+0.3*O207+0.2*P207+0.15*Q207</f>
        <v>7.4999999999999997E-2</v>
      </c>
      <c r="S207" t="str">
        <f>LEFT(K207,1)</f>
        <v/>
      </c>
      <c r="T207">
        <f>IF(S207="G",1,0)</f>
        <v>0</v>
      </c>
      <c r="U207">
        <f>IF(S207="K",1,0)</f>
        <v>0</v>
      </c>
      <c r="V207">
        <f>IF(S207="M",1,0)</f>
        <v>0</v>
      </c>
      <c r="W207">
        <f>IF(S207="F",1,0)</f>
        <v>0</v>
      </c>
    </row>
    <row r="208" spans="1:23" x14ac:dyDescent="0.3">
      <c r="A208" t="s">
        <v>569</v>
      </c>
      <c r="B208">
        <v>25</v>
      </c>
      <c r="C208">
        <v>593</v>
      </c>
      <c r="D208">
        <v>4.4258699999999997</v>
      </c>
      <c r="E208">
        <v>5.7779999999999998E-2</v>
      </c>
      <c r="G208">
        <f>IF(OR(C208="",B208="",B208=0),"",5.51*(C208/(B208^3)))</f>
        <v>0.20911552</v>
      </c>
      <c r="H208">
        <v>6117</v>
      </c>
      <c r="I208">
        <v>2.9405368998495747</v>
      </c>
      <c r="J208">
        <v>0.25</v>
      </c>
      <c r="K208" t="s">
        <v>174</v>
      </c>
      <c r="L208">
        <f>IF(AND(B208&gt;=0.8,B208&lt;=1.5),1,IF(AND(B208&gt;=0.5,B208&lt;=2),0.5,0))</f>
        <v>0</v>
      </c>
      <c r="M208">
        <f>IF(AND(C208&gt;=0.5,C208&lt;=2),1,IF(AND(C208&gt;=0.1,C208&lt;=5),0.5,0))</f>
        <v>0</v>
      </c>
      <c r="N208">
        <f>IF(AND(G208&gt;=4,G208&lt;=7),1,IF(AND(G208&gt;=3,G208&lt;=8),0.5,0))</f>
        <v>0</v>
      </c>
      <c r="O208">
        <f>IF(AND(F208&gt;=270,F208&lt;=310),1,IF(AND(F208&gt;=250,F208&lt;=330),0.5,0))</f>
        <v>0</v>
      </c>
      <c r="P208">
        <f>IF(AND(E208&gt;=0.8,E208&lt;=1.5),1,IF(AND(E208&gt;=0.5,E208&lt;=2),0.5,0))</f>
        <v>0</v>
      </c>
      <c r="Q208">
        <f>IF(AND(H208&gt;=5000,H208&lt;=6000),1,IF(AND(H208&gt;=4000,H208&lt;5000),0.5,0))</f>
        <v>0</v>
      </c>
      <c r="R208">
        <f>0.35*AVERAGE(L208:M208:N208)+0.3*O208+0.2*P208+0.15*Q208</f>
        <v>0</v>
      </c>
      <c r="S208" t="str">
        <f>LEFT(K208,1)</f>
        <v>F</v>
      </c>
      <c r="T208">
        <f>IF(S208="G",1,0)</f>
        <v>0</v>
      </c>
      <c r="U208">
        <f>IF(S208="K",1,0)</f>
        <v>0</v>
      </c>
      <c r="V208">
        <f>IF(S208="M",1,0)</f>
        <v>0</v>
      </c>
      <c r="W208">
        <f>IF(S208="F",1,0)</f>
        <v>1</v>
      </c>
    </row>
    <row r="209" spans="1:23" x14ac:dyDescent="0.3">
      <c r="A209" t="s">
        <v>568</v>
      </c>
      <c r="B209">
        <v>2.2200000000000002</v>
      </c>
      <c r="C209">
        <v>7.6</v>
      </c>
      <c r="D209">
        <v>2.1663999999999999</v>
      </c>
      <c r="E209">
        <v>3.5869999999999999E-2</v>
      </c>
      <c r="G209">
        <f>IF(OR(C209="",B209="",B209=0),"",5.51*(C209/(B209^3)))</f>
        <v>3.8274212854198235</v>
      </c>
      <c r="H209">
        <v>6117</v>
      </c>
      <c r="I209">
        <v>2.9405368998495747</v>
      </c>
      <c r="J209">
        <v>0.25</v>
      </c>
      <c r="K209" t="s">
        <v>174</v>
      </c>
      <c r="L209">
        <f>IF(AND(B209&gt;=0.8,B209&lt;=1.5),1,IF(AND(B209&gt;=0.5,B209&lt;=2),0.5,0))</f>
        <v>0</v>
      </c>
      <c r="M209">
        <f>IF(AND(C209&gt;=0.5,C209&lt;=2),1,IF(AND(C209&gt;=0.1,C209&lt;=5),0.5,0))</f>
        <v>0</v>
      </c>
      <c r="N209">
        <f>IF(AND(G209&gt;=4,G209&lt;=7),1,IF(AND(G209&gt;=3,G209&lt;=8),0.5,0))</f>
        <v>0.5</v>
      </c>
      <c r="O209">
        <f>IF(AND(F209&gt;=270,F209&lt;=310),1,IF(AND(F209&gt;=250,F209&lt;=330),0.5,0))</f>
        <v>0</v>
      </c>
      <c r="P209">
        <f>IF(AND(E209&gt;=0.8,E209&lt;=1.5),1,IF(AND(E209&gt;=0.5,E209&lt;=2),0.5,0))</f>
        <v>0</v>
      </c>
      <c r="Q209">
        <f>IF(AND(H209&gt;=5000,H209&lt;=6000),1,IF(AND(H209&gt;=4000,H209&lt;5000),0.5,0))</f>
        <v>0</v>
      </c>
      <c r="R209">
        <f>0.35*AVERAGE(L209:M209:N209)+0.3*O209+0.2*P209+0.15*Q209</f>
        <v>5.8333333333333327E-2</v>
      </c>
      <c r="S209" t="str">
        <f>LEFT(K209,1)</f>
        <v>F</v>
      </c>
      <c r="T209">
        <f>IF(S209="G",1,0)</f>
        <v>0</v>
      </c>
      <c r="U209">
        <f>IF(S209="K",1,0)</f>
        <v>0</v>
      </c>
      <c r="V209">
        <f>IF(S209="M",1,0)</f>
        <v>0</v>
      </c>
      <c r="W209">
        <f>IF(S209="F",1,0)</f>
        <v>1</v>
      </c>
    </row>
    <row r="210" spans="1:23" x14ac:dyDescent="0.3">
      <c r="A210" t="s">
        <v>567</v>
      </c>
      <c r="B210">
        <v>3.1008300900000001</v>
      </c>
      <c r="C210">
        <v>12.5</v>
      </c>
      <c r="D210">
        <v>1.2168699999999999</v>
      </c>
      <c r="E210">
        <v>2.07E-2</v>
      </c>
      <c r="F210">
        <v>1236.7</v>
      </c>
      <c r="G210">
        <f>IF(OR(C210="",B210="",B210=0),"",5.51*(C210/(B210^3)))</f>
        <v>2.3100836306646482</v>
      </c>
      <c r="H210">
        <v>4635</v>
      </c>
      <c r="I210">
        <v>0.23653890338436079</v>
      </c>
      <c r="J210">
        <v>0.32800000000000001</v>
      </c>
      <c r="L210">
        <f>IF(AND(B210&gt;=0.8,B210&lt;=1.5),1,IF(AND(B210&gt;=0.5,B210&lt;=2),0.5,0))</f>
        <v>0</v>
      </c>
      <c r="M210">
        <f>IF(AND(C210&gt;=0.5,C210&lt;=2),1,IF(AND(C210&gt;=0.1,C210&lt;=5),0.5,0))</f>
        <v>0</v>
      </c>
      <c r="N210">
        <f>IF(AND(G210&gt;=4,G210&lt;=7),1,IF(AND(G210&gt;=3,G210&lt;=8),0.5,0))</f>
        <v>0</v>
      </c>
      <c r="O210">
        <f>IF(AND(F210&gt;=270,F210&lt;=310),1,IF(AND(F210&gt;=250,F210&lt;=330),0.5,0))</f>
        <v>0</v>
      </c>
      <c r="P210">
        <f>IF(AND(E210&gt;=0.8,E210&lt;=1.5),1,IF(AND(E210&gt;=0.5,E210&lt;=2),0.5,0))</f>
        <v>0</v>
      </c>
      <c r="Q210">
        <f>IF(AND(H210&gt;=5000,H210&lt;=6000),1,IF(AND(H210&gt;=4000,H210&lt;5000),0.5,0))</f>
        <v>0.5</v>
      </c>
      <c r="R210">
        <f>0.35*AVERAGE(L210:M210:N210)+0.3*O210+0.2*P210+0.15*Q210</f>
        <v>7.4999999999999997E-2</v>
      </c>
      <c r="S210" t="str">
        <f>LEFT(K210,1)</f>
        <v/>
      </c>
      <c r="T210">
        <f>IF(S210="G",1,0)</f>
        <v>0</v>
      </c>
      <c r="U210">
        <f>IF(S210="K",1,0)</f>
        <v>0</v>
      </c>
      <c r="V210">
        <f>IF(S210="M",1,0)</f>
        <v>0</v>
      </c>
      <c r="W210">
        <f>IF(S210="F",1,0)</f>
        <v>0</v>
      </c>
    </row>
    <row r="211" spans="1:23" x14ac:dyDescent="0.3">
      <c r="A211" t="s">
        <v>566</v>
      </c>
      <c r="B211">
        <v>1.1988059200000001</v>
      </c>
      <c r="C211">
        <v>2</v>
      </c>
      <c r="D211">
        <v>1.4520527000000001</v>
      </c>
      <c r="E211">
        <v>2.1219999999999999E-2</v>
      </c>
      <c r="F211">
        <v>976.4</v>
      </c>
      <c r="G211">
        <f>IF(OR(C211="",B211="",B211=0),"",5.51*(C211/(B211^3)))</f>
        <v>6.3963903252109793</v>
      </c>
      <c r="H211">
        <v>4115</v>
      </c>
      <c r="I211">
        <v>9.6985308246155158E-2</v>
      </c>
      <c r="J211">
        <v>1.2E-2</v>
      </c>
      <c r="L211">
        <f>IF(AND(B211&gt;=0.8,B211&lt;=1.5),1,IF(AND(B211&gt;=0.5,B211&lt;=2),0.5,0))</f>
        <v>1</v>
      </c>
      <c r="M211">
        <f>IF(AND(C211&gt;=0.5,C211&lt;=2),1,IF(AND(C211&gt;=0.1,C211&lt;=5),0.5,0))</f>
        <v>1</v>
      </c>
      <c r="N211">
        <f>IF(AND(G211&gt;=4,G211&lt;=7),1,IF(AND(G211&gt;=3,G211&lt;=8),0.5,0))</f>
        <v>1</v>
      </c>
      <c r="O211">
        <f>IF(AND(F211&gt;=270,F211&lt;=310),1,IF(AND(F211&gt;=250,F211&lt;=330),0.5,0))</f>
        <v>0</v>
      </c>
      <c r="P211">
        <f>IF(AND(E211&gt;=0.8,E211&lt;=1.5),1,IF(AND(E211&gt;=0.5,E211&lt;=2),0.5,0))</f>
        <v>0</v>
      </c>
      <c r="Q211">
        <f>IF(AND(H211&gt;=5000,H211&lt;=6000),1,IF(AND(H211&gt;=4000,H211&lt;5000),0.5,0))</f>
        <v>0.5</v>
      </c>
      <c r="R211">
        <f>0.35*AVERAGE(L211:M211:N211)+0.3*O211+0.2*P211+0.15*Q211</f>
        <v>0.42499999999999999</v>
      </c>
      <c r="S211" t="str">
        <f>LEFT(K211,1)</f>
        <v/>
      </c>
      <c r="T211">
        <f>IF(S211="G",1,0)</f>
        <v>0</v>
      </c>
      <c r="U211">
        <f>IF(S211="K",1,0)</f>
        <v>0</v>
      </c>
      <c r="V211">
        <f>IF(S211="M",1,0)</f>
        <v>0</v>
      </c>
      <c r="W211">
        <f>IF(S211="F",1,0)</f>
        <v>0</v>
      </c>
    </row>
    <row r="212" spans="1:23" x14ac:dyDescent="0.3">
      <c r="A212" t="s">
        <v>565</v>
      </c>
      <c r="B212">
        <v>1.62</v>
      </c>
      <c r="C212">
        <v>3.48</v>
      </c>
      <c r="D212">
        <v>1.0697568</v>
      </c>
      <c r="E212">
        <v>1.9E-2</v>
      </c>
      <c r="F212">
        <v>1517</v>
      </c>
      <c r="G212">
        <f>IF(OR(C212="",B212="",B212=0),"",5.51*(C212/(B212^3)))</f>
        <v>4.5100961348484576</v>
      </c>
      <c r="H212">
        <v>4884</v>
      </c>
      <c r="I212">
        <v>0.32102499338299428</v>
      </c>
      <c r="J212">
        <v>0.08</v>
      </c>
      <c r="K212" t="s">
        <v>241</v>
      </c>
      <c r="L212">
        <f>IF(AND(B212&gt;=0.8,B212&lt;=1.5),1,IF(AND(B212&gt;=0.5,B212&lt;=2),0.5,0))</f>
        <v>0.5</v>
      </c>
      <c r="M212">
        <f>IF(AND(C212&gt;=0.5,C212&lt;=2),1,IF(AND(C212&gt;=0.1,C212&lt;=5),0.5,0))</f>
        <v>0.5</v>
      </c>
      <c r="N212">
        <f>IF(AND(G212&gt;=4,G212&lt;=7),1,IF(AND(G212&gt;=3,G212&lt;=8),0.5,0))</f>
        <v>1</v>
      </c>
      <c r="O212">
        <f>IF(AND(F212&gt;=270,F212&lt;=310),1,IF(AND(F212&gt;=250,F212&lt;=330),0.5,0))</f>
        <v>0</v>
      </c>
      <c r="P212">
        <f>IF(AND(E212&gt;=0.8,E212&lt;=1.5),1,IF(AND(E212&gt;=0.5,E212&lt;=2),0.5,0))</f>
        <v>0</v>
      </c>
      <c r="Q212">
        <f>IF(AND(H212&gt;=5000,H212&lt;=6000),1,IF(AND(H212&gt;=4000,H212&lt;5000),0.5,0))</f>
        <v>0.5</v>
      </c>
      <c r="R212">
        <f>0.35*AVERAGE(L212:M212:N212)+0.3*O212+0.2*P212+0.15*Q212</f>
        <v>0.30833333333333329</v>
      </c>
      <c r="S212" t="str">
        <f>LEFT(K212,1)</f>
        <v>G</v>
      </c>
      <c r="T212">
        <f>IF(S212="G",1,0)</f>
        <v>1</v>
      </c>
      <c r="U212">
        <f>IF(S212="K",1,0)</f>
        <v>0</v>
      </c>
      <c r="V212">
        <f>IF(S212="M",1,0)</f>
        <v>0</v>
      </c>
      <c r="W212">
        <f>IF(S212="F",1,0)</f>
        <v>0</v>
      </c>
    </row>
    <row r="213" spans="1:23" x14ac:dyDescent="0.3">
      <c r="A213" t="s">
        <v>564</v>
      </c>
      <c r="B213">
        <v>11.89</v>
      </c>
      <c r="C213">
        <v>25.1</v>
      </c>
      <c r="D213">
        <v>6.9561063000000001</v>
      </c>
      <c r="E213">
        <v>7.0999999999999994E-2</v>
      </c>
      <c r="F213">
        <v>957</v>
      </c>
      <c r="G213">
        <f>IF(OR(C213="",B213="",B213=0),"",5.51*(C213/(B213^3)))</f>
        <v>8.2277247894550404E-2</v>
      </c>
      <c r="H213">
        <v>5510</v>
      </c>
      <c r="I213">
        <v>0.70453025411142034</v>
      </c>
      <c r="J213">
        <v>0.28000000000000003</v>
      </c>
      <c r="L213">
        <f>IF(AND(B213&gt;=0.8,B213&lt;=1.5),1,IF(AND(B213&gt;=0.5,B213&lt;=2),0.5,0))</f>
        <v>0</v>
      </c>
      <c r="M213">
        <f>IF(AND(C213&gt;=0.5,C213&lt;=2),1,IF(AND(C213&gt;=0.1,C213&lt;=5),0.5,0))</f>
        <v>0</v>
      </c>
      <c r="N213">
        <f>IF(AND(G213&gt;=4,G213&lt;=7),1,IF(AND(G213&gt;=3,G213&lt;=8),0.5,0))</f>
        <v>0</v>
      </c>
      <c r="O213">
        <f>IF(AND(F213&gt;=270,F213&lt;=310),1,IF(AND(F213&gt;=250,F213&lt;=330),0.5,0))</f>
        <v>0</v>
      </c>
      <c r="P213">
        <f>IF(AND(E213&gt;=0.8,E213&lt;=1.5),1,IF(AND(E213&gt;=0.5,E213&lt;=2),0.5,0))</f>
        <v>0</v>
      </c>
      <c r="Q213">
        <f>IF(AND(H213&gt;=5000,H213&lt;=6000),1,IF(AND(H213&gt;=4000,H213&lt;5000),0.5,0))</f>
        <v>1</v>
      </c>
      <c r="R213">
        <f>0.35*AVERAGE(L213:M213:N213)+0.3*O213+0.2*P213+0.15*Q213</f>
        <v>0.15</v>
      </c>
      <c r="S213" t="str">
        <f>LEFT(K213,1)</f>
        <v/>
      </c>
      <c r="T213">
        <f>IF(S213="G",1,0)</f>
        <v>0</v>
      </c>
      <c r="U213">
        <f>IF(S213="K",1,0)</f>
        <v>0</v>
      </c>
      <c r="V213">
        <f>IF(S213="M",1,0)</f>
        <v>0</v>
      </c>
      <c r="W213">
        <f>IF(S213="F",1,0)</f>
        <v>0</v>
      </c>
    </row>
    <row r="214" spans="1:23" x14ac:dyDescent="0.3">
      <c r="A214" t="s">
        <v>563</v>
      </c>
      <c r="B214">
        <v>16.70138124</v>
      </c>
      <c r="C214">
        <v>991.62462984000001</v>
      </c>
      <c r="D214">
        <v>2.6502370000000002</v>
      </c>
      <c r="E214">
        <v>4.5999999999999999E-2</v>
      </c>
      <c r="F214">
        <v>2370</v>
      </c>
      <c r="G214">
        <f>IF(OR(C214="",B214="",B214=0),"",5.51*(C214/(B214^3)))</f>
        <v>1.1728480088431197</v>
      </c>
      <c r="H214">
        <v>7690</v>
      </c>
      <c r="I214">
        <v>11.566385596481172</v>
      </c>
      <c r="J214">
        <v>0.09</v>
      </c>
      <c r="K214" t="s">
        <v>562</v>
      </c>
      <c r="L214">
        <f>IF(AND(B214&gt;=0.8,B214&lt;=1.5),1,IF(AND(B214&gt;=0.5,B214&lt;=2),0.5,0))</f>
        <v>0</v>
      </c>
      <c r="M214">
        <f>IF(AND(C214&gt;=0.5,C214&lt;=2),1,IF(AND(C214&gt;=0.1,C214&lt;=5),0.5,0))</f>
        <v>0</v>
      </c>
      <c r="N214">
        <f>IF(AND(G214&gt;=4,G214&lt;=7),1,IF(AND(G214&gt;=3,G214&lt;=8),0.5,0))</f>
        <v>0</v>
      </c>
      <c r="O214">
        <f>IF(AND(F214&gt;=270,F214&lt;=310),1,IF(AND(F214&gt;=250,F214&lt;=330),0.5,0))</f>
        <v>0</v>
      </c>
      <c r="P214">
        <f>IF(AND(E214&gt;=0.8,E214&lt;=1.5),1,IF(AND(E214&gt;=0.5,E214&lt;=2),0.5,0))</f>
        <v>0</v>
      </c>
      <c r="Q214">
        <f>IF(AND(H214&gt;=5000,H214&lt;=6000),1,IF(AND(H214&gt;=4000,H214&lt;5000),0.5,0))</f>
        <v>0</v>
      </c>
      <c r="R214">
        <f>0.35*AVERAGE(L214:M214:N214)+0.3*O214+0.2*P214+0.15*Q214</f>
        <v>0</v>
      </c>
      <c r="S214" t="str">
        <f>LEFT(K214,1)</f>
        <v>A</v>
      </c>
      <c r="T214">
        <f>IF(S214="G",1,0)</f>
        <v>0</v>
      </c>
      <c r="U214">
        <f>IF(S214="K",1,0)</f>
        <v>0</v>
      </c>
      <c r="V214">
        <f>IF(S214="M",1,0)</f>
        <v>0</v>
      </c>
      <c r="W214">
        <f>IF(S214="F",1,0)</f>
        <v>0</v>
      </c>
    </row>
    <row r="215" spans="1:23" x14ac:dyDescent="0.3">
      <c r="A215" t="s">
        <v>561</v>
      </c>
      <c r="B215">
        <v>2.2400000000000002</v>
      </c>
      <c r="C215">
        <v>9.6</v>
      </c>
      <c r="D215">
        <v>18.840941999999998</v>
      </c>
      <c r="E215">
        <v>0.14000000000000001</v>
      </c>
      <c r="G215">
        <f>IF(OR(C215="",B215="",B215=0),"",5.51*(C215/(B215^3)))</f>
        <v>4.7062909985422721</v>
      </c>
      <c r="H215">
        <v>6008</v>
      </c>
      <c r="I215">
        <v>1.6002258048037983</v>
      </c>
      <c r="J215">
        <v>-0.4924</v>
      </c>
      <c r="L215">
        <f>IF(AND(B215&gt;=0.8,B215&lt;=1.5),1,IF(AND(B215&gt;=0.5,B215&lt;=2),0.5,0))</f>
        <v>0</v>
      </c>
      <c r="M215">
        <f>IF(AND(C215&gt;=0.5,C215&lt;=2),1,IF(AND(C215&gt;=0.1,C215&lt;=5),0.5,0))</f>
        <v>0</v>
      </c>
      <c r="N215">
        <f>IF(AND(G215&gt;=4,G215&lt;=7),1,IF(AND(G215&gt;=3,G215&lt;=8),0.5,0))</f>
        <v>1</v>
      </c>
      <c r="O215">
        <f>IF(AND(F215&gt;=270,F215&lt;=310),1,IF(AND(F215&gt;=250,F215&lt;=330),0.5,0))</f>
        <v>0</v>
      </c>
      <c r="P215">
        <f>IF(AND(E215&gt;=0.8,E215&lt;=1.5),1,IF(AND(E215&gt;=0.5,E215&lt;=2),0.5,0))</f>
        <v>0</v>
      </c>
      <c r="Q215">
        <f>IF(AND(H215&gt;=5000,H215&lt;=6000),1,IF(AND(H215&gt;=4000,H215&lt;5000),0.5,0))</f>
        <v>0</v>
      </c>
      <c r="R215">
        <f>0.35*AVERAGE(L215:M215:N215)+0.3*O215+0.2*P215+0.15*Q215</f>
        <v>0.11666666666666665</v>
      </c>
      <c r="S215" t="str">
        <f>LEFT(K215,1)</f>
        <v/>
      </c>
      <c r="T215">
        <f>IF(S215="G",1,0)</f>
        <v>0</v>
      </c>
      <c r="U215">
        <f>IF(S215="K",1,0)</f>
        <v>0</v>
      </c>
      <c r="V215">
        <f>IF(S215="M",1,0)</f>
        <v>0</v>
      </c>
      <c r="W215">
        <f>IF(S215="F",1,0)</f>
        <v>0</v>
      </c>
    </row>
    <row r="216" spans="1:23" x14ac:dyDescent="0.3">
      <c r="A216" t="s">
        <v>560</v>
      </c>
      <c r="B216">
        <v>3.04</v>
      </c>
      <c r="C216">
        <v>9.4</v>
      </c>
      <c r="D216">
        <v>5.1396699999999997</v>
      </c>
      <c r="E216">
        <v>5.5300000000000002E-2</v>
      </c>
      <c r="F216">
        <v>971</v>
      </c>
      <c r="G216">
        <f>IF(OR(C216="",B216="",B216=0),"",5.51*(C216/(B216^3)))</f>
        <v>1.8435660491689752</v>
      </c>
      <c r="H216">
        <v>5230</v>
      </c>
      <c r="I216">
        <v>0.45136129017465099</v>
      </c>
      <c r="J216">
        <v>0.03</v>
      </c>
      <c r="K216" t="s">
        <v>49</v>
      </c>
      <c r="L216">
        <f>IF(AND(B216&gt;=0.8,B216&lt;=1.5),1,IF(AND(B216&gt;=0.5,B216&lt;=2),0.5,0))</f>
        <v>0</v>
      </c>
      <c r="M216">
        <f>IF(AND(C216&gt;=0.5,C216&lt;=2),1,IF(AND(C216&gt;=0.1,C216&lt;=5),0.5,0))</f>
        <v>0</v>
      </c>
      <c r="N216">
        <f>IF(AND(G216&gt;=4,G216&lt;=7),1,IF(AND(G216&gt;=3,G216&lt;=8),0.5,0))</f>
        <v>0</v>
      </c>
      <c r="O216">
        <f>IF(AND(F216&gt;=270,F216&lt;=310),1,IF(AND(F216&gt;=250,F216&lt;=330),0.5,0))</f>
        <v>0</v>
      </c>
      <c r="P216">
        <f>IF(AND(E216&gt;=0.8,E216&lt;=1.5),1,IF(AND(E216&gt;=0.5,E216&lt;=2),0.5,0))</f>
        <v>0</v>
      </c>
      <c r="Q216">
        <f>IF(AND(H216&gt;=5000,H216&lt;=6000),1,IF(AND(H216&gt;=4000,H216&lt;5000),0.5,0))</f>
        <v>1</v>
      </c>
      <c r="R216">
        <f>0.35*AVERAGE(L216:M216:N216)+0.3*O216+0.2*P216+0.15*Q216</f>
        <v>0.15</v>
      </c>
      <c r="S216" t="str">
        <f>LEFT(K216,1)</f>
        <v>K</v>
      </c>
      <c r="T216">
        <f>IF(S216="G",1,0)</f>
        <v>0</v>
      </c>
      <c r="U216">
        <f>IF(S216="K",1,0)</f>
        <v>1</v>
      </c>
      <c r="V216">
        <f>IF(S216="M",1,0)</f>
        <v>0</v>
      </c>
      <c r="W216">
        <f>IF(S216="F",1,0)</f>
        <v>0</v>
      </c>
    </row>
    <row r="217" spans="1:23" x14ac:dyDescent="0.3">
      <c r="A217" t="s">
        <v>559</v>
      </c>
      <c r="B217">
        <v>2.75</v>
      </c>
      <c r="C217">
        <v>10.6</v>
      </c>
      <c r="D217">
        <v>9.4280889999999999</v>
      </c>
      <c r="E217">
        <v>8.3000000000000004E-2</v>
      </c>
      <c r="F217">
        <v>794</v>
      </c>
      <c r="G217">
        <f>IF(OR(C217="",B217="",B217=0),"",5.51*(C217/(B217^3)))</f>
        <v>2.8084027047332834</v>
      </c>
      <c r="H217">
        <v>5230</v>
      </c>
      <c r="I217">
        <v>0.45136129017465099</v>
      </c>
      <c r="J217">
        <v>0.03</v>
      </c>
      <c r="K217" t="s">
        <v>49</v>
      </c>
      <c r="L217">
        <f>IF(AND(B217&gt;=0.8,B217&lt;=1.5),1,IF(AND(B217&gt;=0.5,B217&lt;=2),0.5,0))</f>
        <v>0</v>
      </c>
      <c r="M217">
        <f>IF(AND(C217&gt;=0.5,C217&lt;=2),1,IF(AND(C217&gt;=0.1,C217&lt;=5),0.5,0))</f>
        <v>0</v>
      </c>
      <c r="N217">
        <f>IF(AND(G217&gt;=4,G217&lt;=7),1,IF(AND(G217&gt;=3,G217&lt;=8),0.5,0))</f>
        <v>0</v>
      </c>
      <c r="O217">
        <f>IF(AND(F217&gt;=270,F217&lt;=310),1,IF(AND(F217&gt;=250,F217&lt;=330),0.5,0))</f>
        <v>0</v>
      </c>
      <c r="P217">
        <f>IF(AND(E217&gt;=0.8,E217&lt;=1.5),1,IF(AND(E217&gt;=0.5,E217&lt;=2),0.5,0))</f>
        <v>0</v>
      </c>
      <c r="Q217">
        <f>IF(AND(H217&gt;=5000,H217&lt;=6000),1,IF(AND(H217&gt;=4000,H217&lt;5000),0.5,0))</f>
        <v>1</v>
      </c>
      <c r="R217">
        <f>0.35*AVERAGE(L217:M217:N217)+0.3*O217+0.2*P217+0.15*Q217</f>
        <v>0.15</v>
      </c>
      <c r="S217" t="str">
        <f>LEFT(K217,1)</f>
        <v>K</v>
      </c>
      <c r="T217">
        <f>IF(S217="G",1,0)</f>
        <v>0</v>
      </c>
      <c r="U217">
        <f>IF(S217="K",1,0)</f>
        <v>1</v>
      </c>
      <c r="V217">
        <f>IF(S217="M",1,0)</f>
        <v>0</v>
      </c>
      <c r="W217">
        <f>IF(S217="F",1,0)</f>
        <v>0</v>
      </c>
    </row>
    <row r="218" spans="1:23" x14ac:dyDescent="0.3">
      <c r="A218" t="s">
        <v>558</v>
      </c>
      <c r="B218">
        <v>4.2427861</v>
      </c>
      <c r="C218">
        <v>38.5</v>
      </c>
      <c r="D218">
        <v>27.643999999999998</v>
      </c>
      <c r="E218">
        <v>0.192</v>
      </c>
      <c r="F218">
        <v>748.4</v>
      </c>
      <c r="G218">
        <f>IF(OR(C218="",B218="",B218=0),"",5.51*(C218/(B218^3)))</f>
        <v>2.777531009323754</v>
      </c>
      <c r="H218">
        <v>5841</v>
      </c>
      <c r="I218">
        <v>2.735334319277376</v>
      </c>
      <c r="J218">
        <v>0.22600000000000001</v>
      </c>
      <c r="L218">
        <f>IF(AND(B218&gt;=0.8,B218&lt;=1.5),1,IF(AND(B218&gt;=0.5,B218&lt;=2),0.5,0))</f>
        <v>0</v>
      </c>
      <c r="M218">
        <f>IF(AND(C218&gt;=0.5,C218&lt;=2),1,IF(AND(C218&gt;=0.1,C218&lt;=5),0.5,0))</f>
        <v>0</v>
      </c>
      <c r="N218">
        <f>IF(AND(G218&gt;=4,G218&lt;=7),1,IF(AND(G218&gt;=3,G218&lt;=8),0.5,0))</f>
        <v>0</v>
      </c>
      <c r="O218">
        <f>IF(AND(F218&gt;=270,F218&lt;=310),1,IF(AND(F218&gt;=250,F218&lt;=330),0.5,0))</f>
        <v>0</v>
      </c>
      <c r="P218">
        <f>IF(AND(E218&gt;=0.8,E218&lt;=1.5),1,IF(AND(E218&gt;=0.5,E218&lt;=2),0.5,0))</f>
        <v>0</v>
      </c>
      <c r="Q218">
        <f>IF(AND(H218&gt;=5000,H218&lt;=6000),1,IF(AND(H218&gt;=4000,H218&lt;5000),0.5,0))</f>
        <v>1</v>
      </c>
      <c r="R218">
        <f>0.35*AVERAGE(L218:M218:N218)+0.3*O218+0.2*P218+0.15*Q218</f>
        <v>0.15</v>
      </c>
      <c r="S218" t="str">
        <f>LEFT(K218,1)</f>
        <v/>
      </c>
      <c r="T218">
        <f>IF(S218="G",1,0)</f>
        <v>0</v>
      </c>
      <c r="U218">
        <f>IF(S218="K",1,0)</f>
        <v>0</v>
      </c>
      <c r="V218">
        <f>IF(S218="M",1,0)</f>
        <v>0</v>
      </c>
      <c r="W218">
        <f>IF(S218="F",1,0)</f>
        <v>0</v>
      </c>
    </row>
    <row r="219" spans="1:23" x14ac:dyDescent="0.3">
      <c r="A219" t="s">
        <v>557</v>
      </c>
      <c r="B219">
        <v>1.17</v>
      </c>
      <c r="D219">
        <v>0.40906769999999998</v>
      </c>
      <c r="E219">
        <v>7.1000000000000004E-3</v>
      </c>
      <c r="F219">
        <v>1072</v>
      </c>
      <c r="G219" t="str">
        <f>IF(OR(C219="",B219="",B219=0),"",5.51*(C219/(B219^3)))</f>
        <v/>
      </c>
      <c r="H219">
        <v>3330</v>
      </c>
      <c r="I219">
        <v>1.0602057899841512E-2</v>
      </c>
      <c r="L219">
        <f>IF(AND(B219&gt;=0.8,B219&lt;=1.5),1,IF(AND(B219&gt;=0.5,B219&lt;=2),0.5,0))</f>
        <v>1</v>
      </c>
      <c r="M219">
        <f>IF(AND(C219&gt;=0.5,C219&lt;=2),1,IF(AND(C219&gt;=0.1,C219&lt;=5),0.5,0))</f>
        <v>0</v>
      </c>
      <c r="N219">
        <f>IF(AND(G219&gt;=4,G219&lt;=7),1,IF(AND(G219&gt;=3,G219&lt;=8),0.5,0))</f>
        <v>0</v>
      </c>
      <c r="O219">
        <f>IF(AND(F219&gt;=270,F219&lt;=310),1,IF(AND(F219&gt;=250,F219&lt;=330),0.5,0))</f>
        <v>0</v>
      </c>
      <c r="P219">
        <f>IF(AND(E219&gt;=0.8,E219&lt;=1.5),1,IF(AND(E219&gt;=0.5,E219&lt;=2),0.5,0))</f>
        <v>0</v>
      </c>
      <c r="Q219">
        <f>IF(AND(H219&gt;=5000,H219&lt;=6000),1,IF(AND(H219&gt;=4000,H219&lt;5000),0.5,0))</f>
        <v>0</v>
      </c>
      <c r="R219">
        <f>0.35*AVERAGE(L219:M219:N219)+0.3*O219+0.2*P219+0.15*Q219</f>
        <v>0.11666666666666665</v>
      </c>
      <c r="S219" t="str">
        <f>LEFT(K219,1)</f>
        <v/>
      </c>
      <c r="T219">
        <f>IF(S219="G",1,0)</f>
        <v>0</v>
      </c>
      <c r="U219">
        <f>IF(S219="K",1,0)</f>
        <v>0</v>
      </c>
      <c r="V219">
        <f>IF(S219="M",1,0)</f>
        <v>0</v>
      </c>
      <c r="W219">
        <f>IF(S219="F",1,0)</f>
        <v>0</v>
      </c>
    </row>
    <row r="220" spans="1:23" x14ac:dyDescent="0.3">
      <c r="A220" t="s">
        <v>556</v>
      </c>
      <c r="B220">
        <v>2.3038100099999999</v>
      </c>
      <c r="C220">
        <v>30</v>
      </c>
      <c r="D220">
        <v>23.540678</v>
      </c>
      <c r="E220">
        <v>0.14699999999999999</v>
      </c>
      <c r="F220">
        <v>520.66</v>
      </c>
      <c r="G220">
        <f>IF(OR(C220="",B220="",B220=0),"",5.51*(C220/(B220^3)))</f>
        <v>13.518635883570132</v>
      </c>
      <c r="H220">
        <v>5224</v>
      </c>
      <c r="I220">
        <v>0.3769624114581423</v>
      </c>
      <c r="J220">
        <v>-0.29399999999999998</v>
      </c>
      <c r="L220">
        <f>IF(AND(B220&gt;=0.8,B220&lt;=1.5),1,IF(AND(B220&gt;=0.5,B220&lt;=2),0.5,0))</f>
        <v>0</v>
      </c>
      <c r="M220">
        <f>IF(AND(C220&gt;=0.5,C220&lt;=2),1,IF(AND(C220&gt;=0.1,C220&lt;=5),0.5,0))</f>
        <v>0</v>
      </c>
      <c r="N220">
        <f>IF(AND(G220&gt;=4,G220&lt;=7),1,IF(AND(G220&gt;=3,G220&lt;=8),0.5,0))</f>
        <v>0</v>
      </c>
      <c r="O220">
        <f>IF(AND(F220&gt;=270,F220&lt;=310),1,IF(AND(F220&gt;=250,F220&lt;=330),0.5,0))</f>
        <v>0</v>
      </c>
      <c r="P220">
        <f>IF(AND(E220&gt;=0.8,E220&lt;=1.5),1,IF(AND(E220&gt;=0.5,E220&lt;=2),0.5,0))</f>
        <v>0</v>
      </c>
      <c r="Q220">
        <f>IF(AND(H220&gt;=5000,H220&lt;=6000),1,IF(AND(H220&gt;=4000,H220&lt;5000),0.5,0))</f>
        <v>1</v>
      </c>
      <c r="R220">
        <f>0.35*AVERAGE(L220:M220:N220)+0.3*O220+0.2*P220+0.15*Q220</f>
        <v>0.15</v>
      </c>
      <c r="S220" t="str">
        <f>LEFT(K220,1)</f>
        <v/>
      </c>
      <c r="T220">
        <f>IF(S220="G",1,0)</f>
        <v>0</v>
      </c>
      <c r="U220">
        <f>IF(S220="K",1,0)</f>
        <v>0</v>
      </c>
      <c r="V220">
        <f>IF(S220="M",1,0)</f>
        <v>0</v>
      </c>
      <c r="W220">
        <f>IF(S220="F",1,0)</f>
        <v>0</v>
      </c>
    </row>
    <row r="221" spans="1:23" x14ac:dyDescent="0.3">
      <c r="A221" t="s">
        <v>555</v>
      </c>
      <c r="B221">
        <v>1.41792246</v>
      </c>
      <c r="C221">
        <v>3.58</v>
      </c>
      <c r="D221">
        <v>0.47027429999999998</v>
      </c>
      <c r="E221">
        <v>1.1599999999999999E-2</v>
      </c>
      <c r="F221">
        <v>2130.02</v>
      </c>
      <c r="G221">
        <f>IF(OR(C221="",B221="",B221=0),"",5.51*(C221/(B221^3)))</f>
        <v>6.9195392959804165</v>
      </c>
      <c r="H221">
        <v>5460</v>
      </c>
      <c r="I221">
        <v>0.66102870808645353</v>
      </c>
      <c r="J221">
        <v>0.14599999999999999</v>
      </c>
      <c r="L221">
        <f>IF(AND(B221&gt;=0.8,B221&lt;=1.5),1,IF(AND(B221&gt;=0.5,B221&lt;=2),0.5,0))</f>
        <v>1</v>
      </c>
      <c r="M221">
        <f>IF(AND(C221&gt;=0.5,C221&lt;=2),1,IF(AND(C221&gt;=0.1,C221&lt;=5),0.5,0))</f>
        <v>0.5</v>
      </c>
      <c r="N221">
        <f>IF(AND(G221&gt;=4,G221&lt;=7),1,IF(AND(G221&gt;=3,G221&lt;=8),0.5,0))</f>
        <v>1</v>
      </c>
      <c r="O221">
        <f>IF(AND(F221&gt;=270,F221&lt;=310),1,IF(AND(F221&gt;=250,F221&lt;=330),0.5,0))</f>
        <v>0</v>
      </c>
      <c r="P221">
        <f>IF(AND(E221&gt;=0.8,E221&lt;=1.5),1,IF(AND(E221&gt;=0.5,E221&lt;=2),0.5,0))</f>
        <v>0</v>
      </c>
      <c r="Q221">
        <f>IF(AND(H221&gt;=5000,H221&lt;=6000),1,IF(AND(H221&gt;=4000,H221&lt;5000),0.5,0))</f>
        <v>1</v>
      </c>
      <c r="R221">
        <f>0.35*AVERAGE(L221:M221:N221)+0.3*O221+0.2*P221+0.15*Q221</f>
        <v>0.44166666666666665</v>
      </c>
      <c r="S221" t="str">
        <f>LEFT(K221,1)</f>
        <v/>
      </c>
      <c r="T221">
        <f>IF(S221="G",1,0)</f>
        <v>0</v>
      </c>
      <c r="U221">
        <f>IF(S221="K",1,0)</f>
        <v>0</v>
      </c>
      <c r="V221">
        <f>IF(S221="M",1,0)</f>
        <v>0</v>
      </c>
      <c r="W221">
        <f>IF(S221="F",1,0)</f>
        <v>0</v>
      </c>
    </row>
    <row r="222" spans="1:23" x14ac:dyDescent="0.3">
      <c r="A222" t="s">
        <v>554</v>
      </c>
      <c r="B222">
        <v>2.7490000000000001</v>
      </c>
      <c r="C222">
        <v>19.5</v>
      </c>
      <c r="D222">
        <v>8.1122449999999997</v>
      </c>
      <c r="E222">
        <v>5.67E-2</v>
      </c>
      <c r="F222">
        <v>426</v>
      </c>
      <c r="G222">
        <f>IF(OR(C222="",B222="",B222=0),"",5.51*(C222/(B222^3)))</f>
        <v>5.1720413775908511</v>
      </c>
      <c r="H222">
        <v>3412</v>
      </c>
      <c r="I222">
        <v>1.7558731311131393E-2</v>
      </c>
      <c r="J222">
        <v>0.37</v>
      </c>
      <c r="L222">
        <f>IF(AND(B222&gt;=0.8,B222&lt;=1.5),1,IF(AND(B222&gt;=0.5,B222&lt;=2),0.5,0))</f>
        <v>0</v>
      </c>
      <c r="M222">
        <f>IF(AND(C222&gt;=0.5,C222&lt;=2),1,IF(AND(C222&gt;=0.1,C222&lt;=5),0.5,0))</f>
        <v>0</v>
      </c>
      <c r="N222">
        <f>IF(AND(G222&gt;=4,G222&lt;=7),1,IF(AND(G222&gt;=3,G222&lt;=8),0.5,0))</f>
        <v>1</v>
      </c>
      <c r="O222">
        <f>IF(AND(F222&gt;=270,F222&lt;=310),1,IF(AND(F222&gt;=250,F222&lt;=330),0.5,0))</f>
        <v>0</v>
      </c>
      <c r="P222">
        <f>IF(AND(E222&gt;=0.8,E222&lt;=1.5),1,IF(AND(E222&gt;=0.5,E222&lt;=2),0.5,0))</f>
        <v>0</v>
      </c>
      <c r="Q222">
        <f>IF(AND(H222&gt;=5000,H222&lt;=6000),1,IF(AND(H222&gt;=4000,H222&lt;5000),0.5,0))</f>
        <v>0</v>
      </c>
      <c r="R222">
        <f>0.35*AVERAGE(L222:M222:N222)+0.3*O222+0.2*P222+0.15*Q222</f>
        <v>0.11666666666666665</v>
      </c>
      <c r="S222" t="str">
        <f>LEFT(K222,1)</f>
        <v/>
      </c>
      <c r="T222">
        <f>IF(S222="G",1,0)</f>
        <v>0</v>
      </c>
      <c r="U222">
        <f>IF(S222="K",1,0)</f>
        <v>0</v>
      </c>
      <c r="V222">
        <f>IF(S222="M",1,0)</f>
        <v>0</v>
      </c>
      <c r="W222">
        <f>IF(S222="F",1,0)</f>
        <v>0</v>
      </c>
    </row>
    <row r="223" spans="1:23" x14ac:dyDescent="0.3">
      <c r="A223" t="s">
        <v>553</v>
      </c>
      <c r="B223">
        <v>1.1299999999999999</v>
      </c>
      <c r="C223">
        <v>1.258</v>
      </c>
      <c r="D223">
        <v>2.0439273999999998</v>
      </c>
      <c r="F223">
        <v>722</v>
      </c>
      <c r="G223">
        <f>IF(OR(C223="",B223="",B223=0),"",5.51*(C223/(B223^3)))</f>
        <v>4.8039326438408301</v>
      </c>
      <c r="H223">
        <v>3437</v>
      </c>
      <c r="I223">
        <v>2.9208028251868932E-2</v>
      </c>
      <c r="J223">
        <v>-0.12</v>
      </c>
      <c r="K223" t="s">
        <v>552</v>
      </c>
      <c r="L223">
        <f>IF(AND(B223&gt;=0.8,B223&lt;=1.5),1,IF(AND(B223&gt;=0.5,B223&lt;=2),0.5,0))</f>
        <v>1</v>
      </c>
      <c r="M223">
        <f>IF(AND(C223&gt;=0.5,C223&lt;=2),1,IF(AND(C223&gt;=0.1,C223&lt;=5),0.5,0))</f>
        <v>1</v>
      </c>
      <c r="N223">
        <f>IF(AND(G223&gt;=4,G223&lt;=7),1,IF(AND(G223&gt;=3,G223&lt;=8),0.5,0))</f>
        <v>1</v>
      </c>
      <c r="O223">
        <f>IF(AND(F223&gt;=270,F223&lt;=310),1,IF(AND(F223&gt;=250,F223&lt;=330),0.5,0))</f>
        <v>0</v>
      </c>
      <c r="P223">
        <f>IF(AND(E223&gt;=0.8,E223&lt;=1.5),1,IF(AND(E223&gt;=0.5,E223&lt;=2),0.5,0))</f>
        <v>0</v>
      </c>
      <c r="Q223">
        <f>IF(AND(H223&gt;=5000,H223&lt;=6000),1,IF(AND(H223&gt;=4000,H223&lt;5000),0.5,0))</f>
        <v>0</v>
      </c>
      <c r="R223">
        <f>0.35*AVERAGE(L223:M223:N223)+0.3*O223+0.2*P223+0.15*Q223</f>
        <v>0.35</v>
      </c>
      <c r="S223" t="str">
        <f>LEFT(K223,1)</f>
        <v>M</v>
      </c>
      <c r="T223">
        <f>IF(S223="G",1,0)</f>
        <v>0</v>
      </c>
      <c r="U223">
        <f>IF(S223="K",1,0)</f>
        <v>0</v>
      </c>
      <c r="V223">
        <f>IF(S223="M",1,0)</f>
        <v>1</v>
      </c>
      <c r="W223">
        <f>IF(S223="F",1,0)</f>
        <v>0</v>
      </c>
    </row>
    <row r="224" spans="1:23" x14ac:dyDescent="0.3">
      <c r="A224" t="s">
        <v>551</v>
      </c>
      <c r="B224">
        <v>2.6114390200000002</v>
      </c>
      <c r="C224">
        <v>15.2</v>
      </c>
      <c r="D224">
        <v>16.537944</v>
      </c>
      <c r="E224">
        <v>0.127</v>
      </c>
      <c r="F224">
        <v>723.33</v>
      </c>
      <c r="G224">
        <f>IF(OR(C224="",B224="",B224=0),"",5.51*(C224/(B224^3)))</f>
        <v>4.7027892815563224</v>
      </c>
      <c r="H224">
        <v>5801</v>
      </c>
      <c r="I224">
        <v>1.0492034089653941</v>
      </c>
      <c r="J224">
        <v>1.9E-2</v>
      </c>
      <c r="L224">
        <f>IF(AND(B224&gt;=0.8,B224&lt;=1.5),1,IF(AND(B224&gt;=0.5,B224&lt;=2),0.5,0))</f>
        <v>0</v>
      </c>
      <c r="M224">
        <f>IF(AND(C224&gt;=0.5,C224&lt;=2),1,IF(AND(C224&gt;=0.1,C224&lt;=5),0.5,0))</f>
        <v>0</v>
      </c>
      <c r="N224">
        <f>IF(AND(G224&gt;=4,G224&lt;=7),1,IF(AND(G224&gt;=3,G224&lt;=8),0.5,0))</f>
        <v>1</v>
      </c>
      <c r="O224">
        <f>IF(AND(F224&gt;=270,F224&lt;=310),1,IF(AND(F224&gt;=250,F224&lt;=330),0.5,0))</f>
        <v>0</v>
      </c>
      <c r="P224">
        <f>IF(AND(E224&gt;=0.8,E224&lt;=1.5),1,IF(AND(E224&gt;=0.5,E224&lt;=2),0.5,0))</f>
        <v>0</v>
      </c>
      <c r="Q224">
        <f>IF(AND(H224&gt;=5000,H224&lt;=6000),1,IF(AND(H224&gt;=4000,H224&lt;5000),0.5,0))</f>
        <v>1</v>
      </c>
      <c r="R224">
        <f>0.35*AVERAGE(L224:M224:N224)+0.3*O224+0.2*P224+0.15*Q224</f>
        <v>0.26666666666666666</v>
      </c>
      <c r="S224" t="str">
        <f>LEFT(K224,1)</f>
        <v/>
      </c>
      <c r="T224">
        <f>IF(S224="G",1,0)</f>
        <v>0</v>
      </c>
      <c r="U224">
        <f>IF(S224="K",1,0)</f>
        <v>0</v>
      </c>
      <c r="V224">
        <f>IF(S224="M",1,0)</f>
        <v>0</v>
      </c>
      <c r="W224">
        <f>IF(S224="F",1,0)</f>
        <v>0</v>
      </c>
    </row>
    <row r="225" spans="1:23" x14ac:dyDescent="0.3">
      <c r="A225" t="s">
        <v>550</v>
      </c>
      <c r="B225">
        <v>1.6719999999999999</v>
      </c>
      <c r="C225">
        <v>4.82</v>
      </c>
      <c r="D225">
        <v>11.062010000000001</v>
      </c>
      <c r="E225">
        <v>6.0999999999999999E-2</v>
      </c>
      <c r="F225">
        <v>326</v>
      </c>
      <c r="G225">
        <f>IF(OR(C225="",B225="",B225=0),"",5.51*(C225/(B225^3)))</f>
        <v>5.6818507006374741</v>
      </c>
      <c r="H225">
        <v>3185</v>
      </c>
      <c r="I225">
        <v>6.9822112477145627E-3</v>
      </c>
      <c r="J225">
        <v>-7.0000000000000007E-2</v>
      </c>
      <c r="K225" t="s">
        <v>549</v>
      </c>
      <c r="L225">
        <f>IF(AND(B225&gt;=0.8,B225&lt;=1.5),1,IF(AND(B225&gt;=0.5,B225&lt;=2),0.5,0))</f>
        <v>0.5</v>
      </c>
      <c r="M225">
        <f>IF(AND(C225&gt;=0.5,C225&lt;=2),1,IF(AND(C225&gt;=0.1,C225&lt;=5),0.5,0))</f>
        <v>0.5</v>
      </c>
      <c r="N225">
        <f>IF(AND(G225&gt;=4,G225&lt;=7),1,IF(AND(G225&gt;=3,G225&lt;=8),0.5,0))</f>
        <v>1</v>
      </c>
      <c r="O225">
        <f>IF(AND(F225&gt;=270,F225&lt;=310),1,IF(AND(F225&gt;=250,F225&lt;=330),0.5,0))</f>
        <v>0.5</v>
      </c>
      <c r="P225">
        <f>IF(AND(E225&gt;=0.8,E225&lt;=1.5),1,IF(AND(E225&gt;=0.5,E225&lt;=2),0.5,0))</f>
        <v>0</v>
      </c>
      <c r="Q225">
        <f>IF(AND(H225&gt;=5000,H225&lt;=6000),1,IF(AND(H225&gt;=4000,H225&lt;5000),0.5,0))</f>
        <v>0</v>
      </c>
      <c r="R225">
        <f>0.35*AVERAGE(L225:M225:N225)+0.3*O225+0.2*P225+0.15*Q225</f>
        <v>0.3833333333333333</v>
      </c>
      <c r="S225" t="str">
        <f>LEFT(K225,1)</f>
        <v>M</v>
      </c>
      <c r="T225">
        <f>IF(S225="G",1,0)</f>
        <v>0</v>
      </c>
      <c r="U225">
        <f>IF(S225="K",1,0)</f>
        <v>0</v>
      </c>
      <c r="V225">
        <f>IF(S225="M",1,0)</f>
        <v>1</v>
      </c>
      <c r="W225">
        <f>IF(S225="F",1,0)</f>
        <v>0</v>
      </c>
    </row>
    <row r="226" spans="1:23" x14ac:dyDescent="0.3">
      <c r="A226" t="s">
        <v>548</v>
      </c>
      <c r="B226">
        <v>1.173</v>
      </c>
      <c r="C226">
        <v>2.3199999999999998</v>
      </c>
      <c r="D226">
        <v>4.3135225000000004</v>
      </c>
      <c r="F226">
        <v>944.2</v>
      </c>
      <c r="G226">
        <f>IF(OR(C226="",B226="",B226=0),"",5.51*(C226/(B226^3)))</f>
        <v>7.9203714092096833</v>
      </c>
      <c r="H226">
        <v>4975</v>
      </c>
      <c r="I226">
        <v>0.28492278658649034</v>
      </c>
      <c r="J226">
        <v>-0.31</v>
      </c>
      <c r="L226">
        <f>IF(AND(B226&gt;=0.8,B226&lt;=1.5),1,IF(AND(B226&gt;=0.5,B226&lt;=2),0.5,0))</f>
        <v>1</v>
      </c>
      <c r="M226">
        <f>IF(AND(C226&gt;=0.5,C226&lt;=2),1,IF(AND(C226&gt;=0.1,C226&lt;=5),0.5,0))</f>
        <v>0.5</v>
      </c>
      <c r="N226">
        <f>IF(AND(G226&gt;=4,G226&lt;=7),1,IF(AND(G226&gt;=3,G226&lt;=8),0.5,0))</f>
        <v>0.5</v>
      </c>
      <c r="O226">
        <f>IF(AND(F226&gt;=270,F226&lt;=310),1,IF(AND(F226&gt;=250,F226&lt;=330),0.5,0))</f>
        <v>0</v>
      </c>
      <c r="P226">
        <f>IF(AND(E226&gt;=0.8,E226&lt;=1.5),1,IF(AND(E226&gt;=0.5,E226&lt;=2),0.5,0))</f>
        <v>0</v>
      </c>
      <c r="Q226">
        <f>IF(AND(H226&gt;=5000,H226&lt;=6000),1,IF(AND(H226&gt;=4000,H226&lt;5000),0.5,0))</f>
        <v>0.5</v>
      </c>
      <c r="R226">
        <f>0.35*AVERAGE(L226:M226:N226)+0.3*O226+0.2*P226+0.15*Q226</f>
        <v>0.30833333333333329</v>
      </c>
      <c r="S226" t="str">
        <f>LEFT(K226,1)</f>
        <v/>
      </c>
      <c r="T226">
        <f>IF(S226="G",1,0)</f>
        <v>0</v>
      </c>
      <c r="U226">
        <f>IF(S226="K",1,0)</f>
        <v>0</v>
      </c>
      <c r="V226">
        <f>IF(S226="M",1,0)</f>
        <v>0</v>
      </c>
      <c r="W226">
        <f>IF(S226="F",1,0)</f>
        <v>0</v>
      </c>
    </row>
    <row r="227" spans="1:23" x14ac:dyDescent="0.3">
      <c r="A227" t="s">
        <v>547</v>
      </c>
      <c r="B227">
        <v>2.2240000000000002</v>
      </c>
      <c r="C227">
        <v>2.95</v>
      </c>
      <c r="D227">
        <v>6.5886981999999996</v>
      </c>
      <c r="F227">
        <v>819.8</v>
      </c>
      <c r="G227">
        <f>IF(OR(C227="",B227="",B227=0),"",5.51*(C227/(B227^3)))</f>
        <v>1.4776421335500303</v>
      </c>
      <c r="H227">
        <v>4975</v>
      </c>
      <c r="I227">
        <v>0.28492278658649034</v>
      </c>
      <c r="J227">
        <v>-0.31</v>
      </c>
      <c r="L227">
        <f>IF(AND(B227&gt;=0.8,B227&lt;=1.5),1,IF(AND(B227&gt;=0.5,B227&lt;=2),0.5,0))</f>
        <v>0</v>
      </c>
      <c r="M227">
        <f>IF(AND(C227&gt;=0.5,C227&lt;=2),1,IF(AND(C227&gt;=0.1,C227&lt;=5),0.5,0))</f>
        <v>0.5</v>
      </c>
      <c r="N227">
        <f>IF(AND(G227&gt;=4,G227&lt;=7),1,IF(AND(G227&gt;=3,G227&lt;=8),0.5,0))</f>
        <v>0</v>
      </c>
      <c r="O227">
        <f>IF(AND(F227&gt;=270,F227&lt;=310),1,IF(AND(F227&gt;=250,F227&lt;=330),0.5,0))</f>
        <v>0</v>
      </c>
      <c r="P227">
        <f>IF(AND(E227&gt;=0.8,E227&lt;=1.5),1,IF(AND(E227&gt;=0.5,E227&lt;=2),0.5,0))</f>
        <v>0</v>
      </c>
      <c r="Q227">
        <f>IF(AND(H227&gt;=5000,H227&lt;=6000),1,IF(AND(H227&gt;=4000,H227&lt;5000),0.5,0))</f>
        <v>0.5</v>
      </c>
      <c r="R227">
        <f>0.35*AVERAGE(L227:M227:N227)+0.3*O227+0.2*P227+0.15*Q227</f>
        <v>0.13333333333333333</v>
      </c>
      <c r="S227" t="str">
        <f>LEFT(K227,1)</f>
        <v/>
      </c>
      <c r="T227">
        <f>IF(S227="G",1,0)</f>
        <v>0</v>
      </c>
      <c r="U227">
        <f>IF(S227="K",1,0)</f>
        <v>0</v>
      </c>
      <c r="V227">
        <f>IF(S227="M",1,0)</f>
        <v>0</v>
      </c>
      <c r="W227">
        <f>IF(S227="F",1,0)</f>
        <v>0</v>
      </c>
    </row>
    <row r="228" spans="1:23" x14ac:dyDescent="0.3">
      <c r="A228" t="s">
        <v>546</v>
      </c>
      <c r="B228">
        <v>1.92</v>
      </c>
      <c r="D228">
        <v>5.9711471300000003</v>
      </c>
      <c r="E228">
        <v>5.0748000000000001E-2</v>
      </c>
      <c r="G228" t="str">
        <f>IF(OR(C228="",B228="",B228=0),"",5.51*(C228/(B228^3)))</f>
        <v/>
      </c>
      <c r="H228">
        <v>3834</v>
      </c>
      <c r="I228">
        <v>4.6737046957909173E-2</v>
      </c>
      <c r="L228">
        <f>IF(AND(B228&gt;=0.8,B228&lt;=1.5),1,IF(AND(B228&gt;=0.5,B228&lt;=2),0.5,0))</f>
        <v>0.5</v>
      </c>
      <c r="M228">
        <f>IF(AND(C228&gt;=0.5,C228&lt;=2),1,IF(AND(C228&gt;=0.1,C228&lt;=5),0.5,0))</f>
        <v>0</v>
      </c>
      <c r="N228">
        <f>IF(AND(G228&gt;=4,G228&lt;=7),1,IF(AND(G228&gt;=3,G228&lt;=8),0.5,0))</f>
        <v>0</v>
      </c>
      <c r="O228">
        <f>IF(AND(F228&gt;=270,F228&lt;=310),1,IF(AND(F228&gt;=250,F228&lt;=330),0.5,0))</f>
        <v>0</v>
      </c>
      <c r="P228">
        <f>IF(AND(E228&gt;=0.8,E228&lt;=1.5),1,IF(AND(E228&gt;=0.5,E228&lt;=2),0.5,0))</f>
        <v>0</v>
      </c>
      <c r="Q228">
        <f>IF(AND(H228&gt;=5000,H228&lt;=6000),1,IF(AND(H228&gt;=4000,H228&lt;5000),0.5,0))</f>
        <v>0</v>
      </c>
      <c r="R228">
        <f>0.35*AVERAGE(L228:M228:N228)+0.3*O228+0.2*P228+0.15*Q228</f>
        <v>5.8333333333333327E-2</v>
      </c>
      <c r="S228" t="str">
        <f>LEFT(K228,1)</f>
        <v/>
      </c>
      <c r="T228">
        <f>IF(S228="G",1,0)</f>
        <v>0</v>
      </c>
      <c r="U228">
        <f>IF(S228="K",1,0)</f>
        <v>0</v>
      </c>
      <c r="V228">
        <f>IF(S228="M",1,0)</f>
        <v>0</v>
      </c>
      <c r="W228">
        <f>IF(S228="F",1,0)</f>
        <v>0</v>
      </c>
    </row>
    <row r="229" spans="1:23" x14ac:dyDescent="0.3">
      <c r="A229" t="s">
        <v>545</v>
      </c>
      <c r="B229">
        <v>1.401</v>
      </c>
      <c r="C229">
        <v>3.04</v>
      </c>
      <c r="D229">
        <v>1.8805201</v>
      </c>
      <c r="E229">
        <v>2.1069999999999998E-2</v>
      </c>
      <c r="F229">
        <v>683.5</v>
      </c>
      <c r="G229">
        <f>IF(OR(C229="",B229="",B229=0),"",5.51*(C229/(B229^3)))</f>
        <v>6.0913110428099797</v>
      </c>
      <c r="H229">
        <v>3376</v>
      </c>
      <c r="I229">
        <v>1.6076200003190766E-2</v>
      </c>
      <c r="J229">
        <v>-0.01</v>
      </c>
      <c r="L229">
        <f>IF(AND(B229&gt;=0.8,B229&lt;=1.5),1,IF(AND(B229&gt;=0.5,B229&lt;=2),0.5,0))</f>
        <v>1</v>
      </c>
      <c r="M229">
        <f>IF(AND(C229&gt;=0.5,C229&lt;=2),1,IF(AND(C229&gt;=0.1,C229&lt;=5),0.5,0))</f>
        <v>0.5</v>
      </c>
      <c r="N229">
        <f>IF(AND(G229&gt;=4,G229&lt;=7),1,IF(AND(G229&gt;=3,G229&lt;=8),0.5,0))</f>
        <v>1</v>
      </c>
      <c r="O229">
        <f>IF(AND(F229&gt;=270,F229&lt;=310),1,IF(AND(F229&gt;=250,F229&lt;=330),0.5,0))</f>
        <v>0</v>
      </c>
      <c r="P229">
        <f>IF(AND(E229&gt;=0.8,E229&lt;=1.5),1,IF(AND(E229&gt;=0.5,E229&lt;=2),0.5,0))</f>
        <v>0</v>
      </c>
      <c r="Q229">
        <f>IF(AND(H229&gt;=5000,H229&lt;=6000),1,IF(AND(H229&gt;=4000,H229&lt;5000),0.5,0))</f>
        <v>0</v>
      </c>
      <c r="R229">
        <f>0.35*AVERAGE(L229:M229:N229)+0.3*O229+0.2*P229+0.15*Q229</f>
        <v>0.29166666666666669</v>
      </c>
      <c r="S229" t="str">
        <f>LEFT(K229,1)</f>
        <v/>
      </c>
      <c r="T229">
        <f>IF(S229="G",1,0)</f>
        <v>0</v>
      </c>
      <c r="U229">
        <f>IF(S229="K",1,0)</f>
        <v>0</v>
      </c>
      <c r="V229">
        <f>IF(S229="M",1,0)</f>
        <v>0</v>
      </c>
      <c r="W229">
        <f>IF(S229="F",1,0)</f>
        <v>0</v>
      </c>
    </row>
    <row r="230" spans="1:23" x14ac:dyDescent="0.3">
      <c r="A230" t="s">
        <v>544</v>
      </c>
      <c r="B230">
        <v>2.1259999999999999</v>
      </c>
      <c r="C230">
        <v>4.0999999999999996</v>
      </c>
      <c r="D230">
        <v>15.532477</v>
      </c>
      <c r="E230">
        <v>8.6080000000000004E-2</v>
      </c>
      <c r="F230">
        <v>338.1</v>
      </c>
      <c r="G230">
        <f>IF(OR(C230="",B230="",B230=0),"",5.51*(C230/(B230^3)))</f>
        <v>2.350962355049981</v>
      </c>
      <c r="H230">
        <v>3376</v>
      </c>
      <c r="I230">
        <v>1.6076200003190766E-2</v>
      </c>
      <c r="J230">
        <v>-0.01</v>
      </c>
      <c r="L230">
        <f>IF(AND(B230&gt;=0.8,B230&lt;=1.5),1,IF(AND(B230&gt;=0.5,B230&lt;=2),0.5,0))</f>
        <v>0</v>
      </c>
      <c r="M230">
        <f>IF(AND(C230&gt;=0.5,C230&lt;=2),1,IF(AND(C230&gt;=0.1,C230&lt;=5),0.5,0))</f>
        <v>0.5</v>
      </c>
      <c r="N230">
        <f>IF(AND(G230&gt;=4,G230&lt;=7),1,IF(AND(G230&gt;=3,G230&lt;=8),0.5,0))</f>
        <v>0</v>
      </c>
      <c r="O230">
        <f>IF(AND(F230&gt;=270,F230&lt;=310),1,IF(AND(F230&gt;=250,F230&lt;=330),0.5,0))</f>
        <v>0</v>
      </c>
      <c r="P230">
        <f>IF(AND(E230&gt;=0.8,E230&lt;=1.5),1,IF(AND(E230&gt;=0.5,E230&lt;=2),0.5,0))</f>
        <v>0</v>
      </c>
      <c r="Q230">
        <f>IF(AND(H230&gt;=5000,H230&lt;=6000),1,IF(AND(H230&gt;=4000,H230&lt;5000),0.5,0))</f>
        <v>0</v>
      </c>
      <c r="R230">
        <f>0.35*AVERAGE(L230:M230:N230)+0.3*O230+0.2*P230+0.15*Q230</f>
        <v>5.8333333333333327E-2</v>
      </c>
      <c r="S230" t="str">
        <f>LEFT(K230,1)</f>
        <v/>
      </c>
      <c r="T230">
        <f>IF(S230="G",1,0)</f>
        <v>0</v>
      </c>
      <c r="U230">
        <f>IF(S230="K",1,0)</f>
        <v>0</v>
      </c>
      <c r="V230">
        <f>IF(S230="M",1,0)</f>
        <v>0</v>
      </c>
      <c r="W230">
        <f>IF(S230="F",1,0)</f>
        <v>0</v>
      </c>
    </row>
    <row r="231" spans="1:23" x14ac:dyDescent="0.3">
      <c r="A231" t="s">
        <v>543</v>
      </c>
      <c r="B231">
        <v>2.1800000000000002</v>
      </c>
      <c r="C231">
        <v>7.32</v>
      </c>
      <c r="D231">
        <v>2.5270929999999998</v>
      </c>
      <c r="E231">
        <v>2.8500000000000001E-2</v>
      </c>
      <c r="F231">
        <v>734</v>
      </c>
      <c r="G231">
        <f>IF(OR(C231="",B231="",B231=0),"",5.51*(C231/(B231^3)))</f>
        <v>3.8930788422498637</v>
      </c>
      <c r="H231">
        <v>3709</v>
      </c>
      <c r="I231">
        <v>3.7347614613294104E-2</v>
      </c>
      <c r="J231">
        <v>0</v>
      </c>
      <c r="K231" t="s">
        <v>541</v>
      </c>
      <c r="L231">
        <f>IF(AND(B231&gt;=0.8,B231&lt;=1.5),1,IF(AND(B231&gt;=0.5,B231&lt;=2),0.5,0))</f>
        <v>0</v>
      </c>
      <c r="M231">
        <f>IF(AND(C231&gt;=0.5,C231&lt;=2),1,IF(AND(C231&gt;=0.1,C231&lt;=5),0.5,0))</f>
        <v>0</v>
      </c>
      <c r="N231">
        <f>IF(AND(G231&gt;=4,G231&lt;=7),1,IF(AND(G231&gt;=3,G231&lt;=8),0.5,0))</f>
        <v>0.5</v>
      </c>
      <c r="O231">
        <f>IF(AND(F231&gt;=270,F231&lt;=310),1,IF(AND(F231&gt;=250,F231&lt;=330),0.5,0))</f>
        <v>0</v>
      </c>
      <c r="P231">
        <f>IF(AND(E231&gt;=0.8,E231&lt;=1.5),1,IF(AND(E231&gt;=0.5,E231&lt;=2),0.5,0))</f>
        <v>0</v>
      </c>
      <c r="Q231">
        <f>IF(AND(H231&gt;=5000,H231&lt;=6000),1,IF(AND(H231&gt;=4000,H231&lt;5000),0.5,0))</f>
        <v>0</v>
      </c>
      <c r="R231">
        <f>0.35*AVERAGE(L231:M231:N231)+0.3*O231+0.2*P231+0.15*Q231</f>
        <v>5.8333333333333327E-2</v>
      </c>
      <c r="S231" t="str">
        <f>LEFT(K231,1)</f>
        <v>M</v>
      </c>
      <c r="T231">
        <f>IF(S231="G",1,0)</f>
        <v>0</v>
      </c>
      <c r="U231">
        <f>IF(S231="K",1,0)</f>
        <v>0</v>
      </c>
      <c r="V231">
        <f>IF(S231="M",1,0)</f>
        <v>1</v>
      </c>
      <c r="W231">
        <f>IF(S231="F",1,0)</f>
        <v>0</v>
      </c>
    </row>
    <row r="232" spans="1:23" x14ac:dyDescent="0.3">
      <c r="A232" t="s">
        <v>542</v>
      </c>
      <c r="B232">
        <v>2.4700000000000002</v>
      </c>
      <c r="C232">
        <v>7.24</v>
      </c>
      <c r="D232">
        <v>18.088159999999998</v>
      </c>
      <c r="E232">
        <v>0.106</v>
      </c>
      <c r="F232">
        <v>373</v>
      </c>
      <c r="G232">
        <f>IF(OR(C232="",B232="",B232=0),"",5.51*(C232/(B232^3)))</f>
        <v>2.6472765052318881</v>
      </c>
      <c r="H232">
        <v>3709</v>
      </c>
      <c r="I232">
        <v>3.7347614613294104E-2</v>
      </c>
      <c r="J232">
        <v>0</v>
      </c>
      <c r="K232" t="s">
        <v>541</v>
      </c>
      <c r="L232">
        <f>IF(AND(B232&gt;=0.8,B232&lt;=1.5),1,IF(AND(B232&gt;=0.5,B232&lt;=2),0.5,0))</f>
        <v>0</v>
      </c>
      <c r="M232">
        <f>IF(AND(C232&gt;=0.5,C232&lt;=2),1,IF(AND(C232&gt;=0.1,C232&lt;=5),0.5,0))</f>
        <v>0</v>
      </c>
      <c r="N232">
        <f>IF(AND(G232&gt;=4,G232&lt;=7),1,IF(AND(G232&gt;=3,G232&lt;=8),0.5,0))</f>
        <v>0</v>
      </c>
      <c r="O232">
        <f>IF(AND(F232&gt;=270,F232&lt;=310),1,IF(AND(F232&gt;=250,F232&lt;=330),0.5,0))</f>
        <v>0</v>
      </c>
      <c r="P232">
        <f>IF(AND(E232&gt;=0.8,E232&lt;=1.5),1,IF(AND(E232&gt;=0.5,E232&lt;=2),0.5,0))</f>
        <v>0</v>
      </c>
      <c r="Q232">
        <f>IF(AND(H232&gt;=5000,H232&lt;=6000),1,IF(AND(H232&gt;=4000,H232&lt;5000),0.5,0))</f>
        <v>0</v>
      </c>
      <c r="R232">
        <f>0.35*AVERAGE(L232:M232:N232)+0.3*O232+0.2*P232+0.15*Q232</f>
        <v>0</v>
      </c>
      <c r="S232" t="str">
        <f>LEFT(K232,1)</f>
        <v>M</v>
      </c>
      <c r="T232">
        <f>IF(S232="G",1,0)</f>
        <v>0</v>
      </c>
      <c r="U232">
        <f>IF(S232="K",1,0)</f>
        <v>0</v>
      </c>
      <c r="V232">
        <f>IF(S232="M",1,0)</f>
        <v>1</v>
      </c>
      <c r="W232">
        <f>IF(S232="F",1,0)</f>
        <v>0</v>
      </c>
    </row>
    <row r="233" spans="1:23" x14ac:dyDescent="0.3">
      <c r="A233" t="s">
        <v>540</v>
      </c>
      <c r="B233">
        <v>4.0579999999999998</v>
      </c>
      <c r="C233">
        <v>18.05</v>
      </c>
      <c r="D233">
        <v>6.36338574</v>
      </c>
      <c r="E233">
        <v>6.4000000000000001E-2</v>
      </c>
      <c r="F233">
        <v>891</v>
      </c>
      <c r="G233">
        <f>IF(OR(C233="",B233="",B233=0),"",5.51*(C233/(B233^3)))</f>
        <v>1.4883075229883596</v>
      </c>
      <c r="H233">
        <v>5100</v>
      </c>
      <c r="I233">
        <v>0.42828131402820918</v>
      </c>
      <c r="J233">
        <v>0.27</v>
      </c>
      <c r="L233">
        <f>IF(AND(B233&gt;=0.8,B233&lt;=1.5),1,IF(AND(B233&gt;=0.5,B233&lt;=2),0.5,0))</f>
        <v>0</v>
      </c>
      <c r="M233">
        <f>IF(AND(C233&gt;=0.5,C233&lt;=2),1,IF(AND(C233&gt;=0.1,C233&lt;=5),0.5,0))</f>
        <v>0</v>
      </c>
      <c r="N233">
        <f>IF(AND(G233&gt;=4,G233&lt;=7),1,IF(AND(G233&gt;=3,G233&lt;=8),0.5,0))</f>
        <v>0</v>
      </c>
      <c r="O233">
        <f>IF(AND(F233&gt;=270,F233&lt;=310),1,IF(AND(F233&gt;=250,F233&lt;=330),0.5,0))</f>
        <v>0</v>
      </c>
      <c r="P233">
        <f>IF(AND(E233&gt;=0.8,E233&lt;=1.5),1,IF(AND(E233&gt;=0.5,E233&lt;=2),0.5,0))</f>
        <v>0</v>
      </c>
      <c r="Q233">
        <f>IF(AND(H233&gt;=5000,H233&lt;=6000),1,IF(AND(H233&gt;=4000,H233&lt;5000),0.5,0))</f>
        <v>1</v>
      </c>
      <c r="R233">
        <f>0.35*AVERAGE(L233:M233:N233)+0.3*O233+0.2*P233+0.15*Q233</f>
        <v>0.15</v>
      </c>
      <c r="S233" t="str">
        <f>LEFT(K233,1)</f>
        <v/>
      </c>
      <c r="T233">
        <f>IF(S233="G",1,0)</f>
        <v>0</v>
      </c>
      <c r="U233">
        <f>IF(S233="K",1,0)</f>
        <v>0</v>
      </c>
      <c r="V233">
        <f>IF(S233="M",1,0)</f>
        <v>0</v>
      </c>
      <c r="W233">
        <f>IF(S233="F",1,0)</f>
        <v>0</v>
      </c>
    </row>
    <row r="234" spans="1:23" x14ac:dyDescent="0.3">
      <c r="A234" t="s">
        <v>539</v>
      </c>
      <c r="B234">
        <v>14.067295</v>
      </c>
      <c r="C234">
        <v>797.75329999999997</v>
      </c>
      <c r="D234">
        <v>5.8574869999999999</v>
      </c>
      <c r="E234">
        <v>7.0370000000000002E-2</v>
      </c>
      <c r="F234">
        <v>1404.5</v>
      </c>
      <c r="G234">
        <f>IF(OR(C234="",B234="",B234=0),"",5.51*(C234/(B234^3)))</f>
        <v>1.5790228811504818</v>
      </c>
      <c r="H234">
        <v>6255</v>
      </c>
      <c r="I234">
        <v>3.1982188108463738</v>
      </c>
      <c r="J234">
        <v>0.28000000000000003</v>
      </c>
      <c r="K234" t="s">
        <v>18</v>
      </c>
      <c r="L234">
        <f>IF(AND(B234&gt;=0.8,B234&lt;=1.5),1,IF(AND(B234&gt;=0.5,B234&lt;=2),0.5,0))</f>
        <v>0</v>
      </c>
      <c r="M234">
        <f>IF(AND(C234&gt;=0.5,C234&lt;=2),1,IF(AND(C234&gt;=0.1,C234&lt;=5),0.5,0))</f>
        <v>0</v>
      </c>
      <c r="N234">
        <f>IF(AND(G234&gt;=4,G234&lt;=7),1,IF(AND(G234&gt;=3,G234&lt;=8),0.5,0))</f>
        <v>0</v>
      </c>
      <c r="O234">
        <f>IF(AND(F234&gt;=270,F234&lt;=310),1,IF(AND(F234&gt;=250,F234&lt;=330),0.5,0))</f>
        <v>0</v>
      </c>
      <c r="P234">
        <f>IF(AND(E234&gt;=0.8,E234&lt;=1.5),1,IF(AND(E234&gt;=0.5,E234&lt;=2),0.5,0))</f>
        <v>0</v>
      </c>
      <c r="Q234">
        <f>IF(AND(H234&gt;=5000,H234&lt;=6000),1,IF(AND(H234&gt;=4000,H234&lt;5000),0.5,0))</f>
        <v>0</v>
      </c>
      <c r="R234">
        <f>0.35*AVERAGE(L234:M234:N234)+0.3*O234+0.2*P234+0.15*Q234</f>
        <v>0</v>
      </c>
      <c r="S234" t="str">
        <f>LEFT(K234,1)</f>
        <v>F</v>
      </c>
      <c r="T234">
        <f>IF(S234="G",1,0)</f>
        <v>0</v>
      </c>
      <c r="U234">
        <f>IF(S234="K",1,0)</f>
        <v>0</v>
      </c>
      <c r="V234">
        <f>IF(S234="M",1,0)</f>
        <v>0</v>
      </c>
      <c r="W234">
        <f>IF(S234="F",1,0)</f>
        <v>1</v>
      </c>
    </row>
    <row r="235" spans="1:23" x14ac:dyDescent="0.3">
      <c r="A235" t="s">
        <v>538</v>
      </c>
      <c r="B235">
        <v>15.24421375</v>
      </c>
      <c r="C235">
        <v>1004.33776612</v>
      </c>
      <c r="D235">
        <v>2.0560139999999998</v>
      </c>
      <c r="G235">
        <f>IF(OR(C235="",B235="",B235=0),"",5.51*(C235/(B235^3)))</f>
        <v>1.5621268729633235</v>
      </c>
      <c r="H235">
        <v>6520</v>
      </c>
      <c r="I235">
        <v>2.1071232326971536</v>
      </c>
      <c r="J235">
        <v>-0.05</v>
      </c>
      <c r="K235" t="s">
        <v>174</v>
      </c>
      <c r="L235">
        <f>IF(AND(B235&gt;=0.8,B235&lt;=1.5),1,IF(AND(B235&gt;=0.5,B235&lt;=2),0.5,0))</f>
        <v>0</v>
      </c>
      <c r="M235">
        <f>IF(AND(C235&gt;=0.5,C235&lt;=2),1,IF(AND(C235&gt;=0.1,C235&lt;=5),0.5,0))</f>
        <v>0</v>
      </c>
      <c r="N235">
        <f>IF(AND(G235&gt;=4,G235&lt;=7),1,IF(AND(G235&gt;=3,G235&lt;=8),0.5,0))</f>
        <v>0</v>
      </c>
      <c r="O235">
        <f>IF(AND(F235&gt;=270,F235&lt;=310),1,IF(AND(F235&gt;=250,F235&lt;=330),0.5,0))</f>
        <v>0</v>
      </c>
      <c r="P235">
        <f>IF(AND(E235&gt;=0.8,E235&lt;=1.5),1,IF(AND(E235&gt;=0.5,E235&lt;=2),0.5,0))</f>
        <v>0</v>
      </c>
      <c r="Q235">
        <f>IF(AND(H235&gt;=5000,H235&lt;=6000),1,IF(AND(H235&gt;=4000,H235&lt;5000),0.5,0))</f>
        <v>0</v>
      </c>
      <c r="R235">
        <f>0.35*AVERAGE(L235:M235:N235)+0.3*O235+0.2*P235+0.15*Q235</f>
        <v>0</v>
      </c>
      <c r="S235" t="str">
        <f>LEFT(K235,1)</f>
        <v>F</v>
      </c>
      <c r="T235">
        <f>IF(S235="G",1,0)</f>
        <v>0</v>
      </c>
      <c r="U235">
        <f>IF(S235="K",1,0)</f>
        <v>0</v>
      </c>
      <c r="V235">
        <f>IF(S235="M",1,0)</f>
        <v>0</v>
      </c>
      <c r="W235">
        <f>IF(S235="F",1,0)</f>
        <v>1</v>
      </c>
    </row>
    <row r="236" spans="1:23" x14ac:dyDescent="0.3">
      <c r="A236" t="s">
        <v>537</v>
      </c>
      <c r="B236">
        <v>14.414774</v>
      </c>
      <c r="C236">
        <v>375.0394</v>
      </c>
      <c r="D236">
        <v>2.0845435000000001</v>
      </c>
      <c r="E236">
        <v>3.1379999999999998E-2</v>
      </c>
      <c r="F236">
        <v>1588</v>
      </c>
      <c r="G236">
        <f>IF(OR(C236="",B236="",B236=0),"",5.51*(C236/(B236^3)))</f>
        <v>0.68992992240505868</v>
      </c>
      <c r="H236">
        <v>5404</v>
      </c>
      <c r="I236">
        <v>1.0420604747388407</v>
      </c>
      <c r="J236">
        <v>0.24</v>
      </c>
      <c r="K236" t="s">
        <v>536</v>
      </c>
      <c r="L236">
        <f>IF(AND(B236&gt;=0.8,B236&lt;=1.5),1,IF(AND(B236&gt;=0.5,B236&lt;=2),0.5,0))</f>
        <v>0</v>
      </c>
      <c r="M236">
        <f>IF(AND(C236&gt;=0.5,C236&lt;=2),1,IF(AND(C236&gt;=0.1,C236&lt;=5),0.5,0))</f>
        <v>0</v>
      </c>
      <c r="N236">
        <f>IF(AND(G236&gt;=4,G236&lt;=7),1,IF(AND(G236&gt;=3,G236&lt;=8),0.5,0))</f>
        <v>0</v>
      </c>
      <c r="O236">
        <f>IF(AND(F236&gt;=270,F236&lt;=310),1,IF(AND(F236&gt;=250,F236&lt;=330),0.5,0))</f>
        <v>0</v>
      </c>
      <c r="P236">
        <f>IF(AND(E236&gt;=0.8,E236&lt;=1.5),1,IF(AND(E236&gt;=0.5,E236&lt;=2),0.5,0))</f>
        <v>0</v>
      </c>
      <c r="Q236">
        <f>IF(AND(H236&gt;=5000,H236&lt;=6000),1,IF(AND(H236&gt;=4000,H236&lt;5000),0.5,0))</f>
        <v>1</v>
      </c>
      <c r="R236">
        <f>0.35*AVERAGE(L236:M236:N236)+0.3*O236+0.2*P236+0.15*Q236</f>
        <v>0.15</v>
      </c>
      <c r="S236" t="str">
        <f>LEFT(K236,1)</f>
        <v>G</v>
      </c>
      <c r="T236">
        <f>IF(S236="G",1,0)</f>
        <v>1</v>
      </c>
      <c r="U236">
        <f>IF(S236="K",1,0)</f>
        <v>0</v>
      </c>
      <c r="V236">
        <f>IF(S236="M",1,0)</f>
        <v>0</v>
      </c>
      <c r="W236">
        <f>IF(S236="F",1,0)</f>
        <v>0</v>
      </c>
    </row>
    <row r="237" spans="1:23" x14ac:dyDescent="0.3">
      <c r="A237" t="s">
        <v>535</v>
      </c>
      <c r="B237">
        <v>14.19902343</v>
      </c>
      <c r="C237">
        <v>387</v>
      </c>
      <c r="D237">
        <v>5.3317500000000004</v>
      </c>
      <c r="E237">
        <v>6.9000000000000006E-2</v>
      </c>
      <c r="F237">
        <v>1493.97</v>
      </c>
      <c r="G237">
        <f>IF(OR(C237="",B237="",B237=0),"",5.51*(C237/(B237^3)))</f>
        <v>0.7448814111580786</v>
      </c>
      <c r="H237">
        <v>5982</v>
      </c>
      <c r="I237">
        <v>5.5353429567256738</v>
      </c>
      <c r="J237">
        <v>0.34300000000000003</v>
      </c>
      <c r="L237">
        <f>IF(AND(B237&gt;=0.8,B237&lt;=1.5),1,IF(AND(B237&gt;=0.5,B237&lt;=2),0.5,0))</f>
        <v>0</v>
      </c>
      <c r="M237">
        <f>IF(AND(C237&gt;=0.5,C237&lt;=2),1,IF(AND(C237&gt;=0.1,C237&lt;=5),0.5,0))</f>
        <v>0</v>
      </c>
      <c r="N237">
        <f>IF(AND(G237&gt;=4,G237&lt;=7),1,IF(AND(G237&gt;=3,G237&lt;=8),0.5,0))</f>
        <v>0</v>
      </c>
      <c r="O237">
        <f>IF(AND(F237&gt;=270,F237&lt;=310),1,IF(AND(F237&gt;=250,F237&lt;=330),0.5,0))</f>
        <v>0</v>
      </c>
      <c r="P237">
        <f>IF(AND(E237&gt;=0.8,E237&lt;=1.5),1,IF(AND(E237&gt;=0.5,E237&lt;=2),0.5,0))</f>
        <v>0</v>
      </c>
      <c r="Q237">
        <f>IF(AND(H237&gt;=5000,H237&lt;=6000),1,IF(AND(H237&gt;=4000,H237&lt;5000),0.5,0))</f>
        <v>1</v>
      </c>
      <c r="R237">
        <f>0.35*AVERAGE(L237:M237:N237)+0.3*O237+0.2*P237+0.15*Q237</f>
        <v>0.15</v>
      </c>
      <c r="S237" t="str">
        <f>LEFT(K237,1)</f>
        <v/>
      </c>
      <c r="T237">
        <f>IF(S237="G",1,0)</f>
        <v>0</v>
      </c>
      <c r="U237">
        <f>IF(S237="K",1,0)</f>
        <v>0</v>
      </c>
      <c r="V237">
        <f>IF(S237="M",1,0)</f>
        <v>0</v>
      </c>
      <c r="W237">
        <f>IF(S237="F",1,0)</f>
        <v>0</v>
      </c>
    </row>
    <row r="238" spans="1:23" x14ac:dyDescent="0.3">
      <c r="A238" t="s">
        <v>534</v>
      </c>
      <c r="B238">
        <v>16.690200999999998</v>
      </c>
      <c r="C238">
        <v>387.75259999999997</v>
      </c>
      <c r="D238">
        <v>4.231306</v>
      </c>
      <c r="E238">
        <v>5.8000000000000003E-2</v>
      </c>
      <c r="F238">
        <v>1669</v>
      </c>
      <c r="G238">
        <f>IF(OR(C238="",B238="",B238=0),"",5.51*(C238/(B238^3)))</f>
        <v>0.45953819776139465</v>
      </c>
      <c r="H238">
        <v>6495</v>
      </c>
      <c r="I238">
        <v>4.3363156339195426</v>
      </c>
      <c r="J238">
        <v>0.22</v>
      </c>
      <c r="K238" t="s">
        <v>18</v>
      </c>
      <c r="L238">
        <f>IF(AND(B238&gt;=0.8,B238&lt;=1.5),1,IF(AND(B238&gt;=0.5,B238&lt;=2),0.5,0))</f>
        <v>0</v>
      </c>
      <c r="M238">
        <f>IF(AND(C238&gt;=0.5,C238&lt;=2),1,IF(AND(C238&gt;=0.1,C238&lt;=5),0.5,0))</f>
        <v>0</v>
      </c>
      <c r="N238">
        <f>IF(AND(G238&gt;=4,G238&lt;=7),1,IF(AND(G238&gt;=3,G238&lt;=8),0.5,0))</f>
        <v>0</v>
      </c>
      <c r="O238">
        <f>IF(AND(F238&gt;=270,F238&lt;=310),1,IF(AND(F238&gt;=250,F238&lt;=330),0.5,0))</f>
        <v>0</v>
      </c>
      <c r="P238">
        <f>IF(AND(E238&gt;=0.8,E238&lt;=1.5),1,IF(AND(E238&gt;=0.5,E238&lt;=2),0.5,0))</f>
        <v>0</v>
      </c>
      <c r="Q238">
        <f>IF(AND(H238&gt;=5000,H238&lt;=6000),1,IF(AND(H238&gt;=4000,H238&lt;5000),0.5,0))</f>
        <v>0</v>
      </c>
      <c r="R238">
        <f>0.35*AVERAGE(L238:M238:N238)+0.3*O238+0.2*P238+0.15*Q238</f>
        <v>0</v>
      </c>
      <c r="S238" t="str">
        <f>LEFT(K238,1)</f>
        <v>F</v>
      </c>
      <c r="T238">
        <f>IF(S238="G",1,0)</f>
        <v>0</v>
      </c>
      <c r="U238">
        <f>IF(S238="K",1,0)</f>
        <v>0</v>
      </c>
      <c r="V238">
        <f>IF(S238="M",1,0)</f>
        <v>0</v>
      </c>
      <c r="W238">
        <f>IF(S238="F",1,0)</f>
        <v>1</v>
      </c>
    </row>
    <row r="239" spans="1:23" x14ac:dyDescent="0.3">
      <c r="A239" t="s">
        <v>533</v>
      </c>
      <c r="B239">
        <v>2.4169999999999998</v>
      </c>
      <c r="D239">
        <v>12.055734733</v>
      </c>
      <c r="E239">
        <v>0.101151</v>
      </c>
      <c r="G239" t="str">
        <f>IF(OR(C239="",B239="",B239=0),"",5.51*(C239/(B239^3)))</f>
        <v/>
      </c>
      <c r="H239">
        <v>5504</v>
      </c>
      <c r="I239">
        <v>0.56723071002015768</v>
      </c>
      <c r="L239">
        <f>IF(AND(B239&gt;=0.8,B239&lt;=1.5),1,IF(AND(B239&gt;=0.5,B239&lt;=2),0.5,0))</f>
        <v>0</v>
      </c>
      <c r="M239">
        <f>IF(AND(C239&gt;=0.5,C239&lt;=2),1,IF(AND(C239&gt;=0.1,C239&lt;=5),0.5,0))</f>
        <v>0</v>
      </c>
      <c r="N239">
        <f>IF(AND(G239&gt;=4,G239&lt;=7),1,IF(AND(G239&gt;=3,G239&lt;=8),0.5,0))</f>
        <v>0</v>
      </c>
      <c r="O239">
        <f>IF(AND(F239&gt;=270,F239&lt;=310),1,IF(AND(F239&gt;=250,F239&lt;=330),0.5,0))</f>
        <v>0</v>
      </c>
      <c r="P239">
        <f>IF(AND(E239&gt;=0.8,E239&lt;=1.5),1,IF(AND(E239&gt;=0.5,E239&lt;=2),0.5,0))</f>
        <v>0</v>
      </c>
      <c r="Q239">
        <f>IF(AND(H239&gt;=5000,H239&lt;=6000),1,IF(AND(H239&gt;=4000,H239&lt;5000),0.5,0))</f>
        <v>1</v>
      </c>
      <c r="R239">
        <f>0.35*AVERAGE(L239:M239:N239)+0.3*O239+0.2*P239+0.15*Q239</f>
        <v>0.15</v>
      </c>
      <c r="S239" t="str">
        <f>LEFT(K239,1)</f>
        <v/>
      </c>
      <c r="T239">
        <f>IF(S239="G",1,0)</f>
        <v>0</v>
      </c>
      <c r="U239">
        <f>IF(S239="K",1,0)</f>
        <v>0</v>
      </c>
      <c r="V239">
        <f>IF(S239="M",1,0)</f>
        <v>0</v>
      </c>
      <c r="W239">
        <f>IF(S239="F",1,0)</f>
        <v>0</v>
      </c>
    </row>
    <row r="240" spans="1:23" x14ac:dyDescent="0.3">
      <c r="A240" t="s">
        <v>532</v>
      </c>
      <c r="B240">
        <v>1.7729999999999999</v>
      </c>
      <c r="C240">
        <v>7.57</v>
      </c>
      <c r="D240">
        <v>0.98934549999999999</v>
      </c>
      <c r="G240">
        <f>IF(OR(C240="",B240="",B240=0),"",5.51*(C240/(B240^3)))</f>
        <v>7.4837844708346548</v>
      </c>
      <c r="H240">
        <v>3472</v>
      </c>
      <c r="I240">
        <v>2.6401812565059385E-2</v>
      </c>
      <c r="J240">
        <v>0.19</v>
      </c>
      <c r="L240">
        <f>IF(AND(B240&gt;=0.8,B240&lt;=1.5),1,IF(AND(B240&gt;=0.5,B240&lt;=2),0.5,0))</f>
        <v>0.5</v>
      </c>
      <c r="M240">
        <f>IF(AND(C240&gt;=0.5,C240&lt;=2),1,IF(AND(C240&gt;=0.1,C240&lt;=5),0.5,0))</f>
        <v>0</v>
      </c>
      <c r="N240">
        <f>IF(AND(G240&gt;=4,G240&lt;=7),1,IF(AND(G240&gt;=3,G240&lt;=8),0.5,0))</f>
        <v>0.5</v>
      </c>
      <c r="O240">
        <f>IF(AND(F240&gt;=270,F240&lt;=310),1,IF(AND(F240&gt;=250,F240&lt;=330),0.5,0))</f>
        <v>0</v>
      </c>
      <c r="P240">
        <f>IF(AND(E240&gt;=0.8,E240&lt;=1.5),1,IF(AND(E240&gt;=0.5,E240&lt;=2),0.5,0))</f>
        <v>0</v>
      </c>
      <c r="Q240">
        <f>IF(AND(H240&gt;=5000,H240&lt;=6000),1,IF(AND(H240&gt;=4000,H240&lt;5000),0.5,0))</f>
        <v>0</v>
      </c>
      <c r="R240">
        <f>0.35*AVERAGE(L240:M240:N240)+0.3*O240+0.2*P240+0.15*Q240</f>
        <v>0.11666666666666665</v>
      </c>
      <c r="S240" t="str">
        <f>LEFT(K240,1)</f>
        <v/>
      </c>
      <c r="T240">
        <f>IF(S240="G",1,0)</f>
        <v>0</v>
      </c>
      <c r="U240">
        <f>IF(S240="K",1,0)</f>
        <v>0</v>
      </c>
      <c r="V240">
        <f>IF(S240="M",1,0)</f>
        <v>0</v>
      </c>
      <c r="W240">
        <f>IF(S240="F",1,0)</f>
        <v>0</v>
      </c>
    </row>
    <row r="241" spans="1:23" x14ac:dyDescent="0.3">
      <c r="A241" t="s">
        <v>531</v>
      </c>
      <c r="B241">
        <v>2.54</v>
      </c>
      <c r="C241">
        <v>7.4</v>
      </c>
      <c r="D241">
        <v>7.3316020000000002</v>
      </c>
      <c r="E241">
        <v>6.9400000000000003E-2</v>
      </c>
      <c r="F241">
        <v>799</v>
      </c>
      <c r="G241">
        <f>IF(OR(C241="",B241="",B241=0),"",5.51*(C241/(B241^3)))</f>
        <v>2.4881821417186143</v>
      </c>
      <c r="H241">
        <v>4850</v>
      </c>
      <c r="I241">
        <v>0.32570681231148713</v>
      </c>
      <c r="J241">
        <v>0.2</v>
      </c>
      <c r="L241">
        <f>IF(AND(B241&gt;=0.8,B241&lt;=1.5),1,IF(AND(B241&gt;=0.5,B241&lt;=2),0.5,0))</f>
        <v>0</v>
      </c>
      <c r="M241">
        <f>IF(AND(C241&gt;=0.5,C241&lt;=2),1,IF(AND(C241&gt;=0.1,C241&lt;=5),0.5,0))</f>
        <v>0</v>
      </c>
      <c r="N241">
        <f>IF(AND(G241&gt;=4,G241&lt;=7),1,IF(AND(G241&gt;=3,G241&lt;=8),0.5,0))</f>
        <v>0</v>
      </c>
      <c r="O241">
        <f>IF(AND(F241&gt;=270,F241&lt;=310),1,IF(AND(F241&gt;=250,F241&lt;=330),0.5,0))</f>
        <v>0</v>
      </c>
      <c r="P241">
        <f>IF(AND(E241&gt;=0.8,E241&lt;=1.5),1,IF(AND(E241&gt;=0.5,E241&lt;=2),0.5,0))</f>
        <v>0</v>
      </c>
      <c r="Q241">
        <f>IF(AND(H241&gt;=5000,H241&lt;=6000),1,IF(AND(H241&gt;=4000,H241&lt;5000),0.5,0))</f>
        <v>0.5</v>
      </c>
      <c r="R241">
        <f>0.35*AVERAGE(L241:M241:N241)+0.3*O241+0.2*P241+0.15*Q241</f>
        <v>7.4999999999999997E-2</v>
      </c>
      <c r="S241" t="str">
        <f>LEFT(K241,1)</f>
        <v/>
      </c>
      <c r="T241">
        <f>IF(S241="G",1,0)</f>
        <v>0</v>
      </c>
      <c r="U241">
        <f>IF(S241="K",1,0)</f>
        <v>0</v>
      </c>
      <c r="V241">
        <f>IF(S241="M",1,0)</f>
        <v>0</v>
      </c>
      <c r="W241">
        <f>IF(S241="F",1,0)</f>
        <v>0</v>
      </c>
    </row>
    <row r="242" spans="1:23" x14ac:dyDescent="0.3">
      <c r="A242" t="s">
        <v>530</v>
      </c>
      <c r="B242">
        <v>2.2549999999999999</v>
      </c>
      <c r="D242">
        <v>5.8775563279999998</v>
      </c>
      <c r="E242">
        <v>6.5756999999999996E-2</v>
      </c>
      <c r="G242" t="str">
        <f>IF(OR(C242="",B242="",B242=0),"",5.51*(C242/(B242^3)))</f>
        <v/>
      </c>
      <c r="H242">
        <v>5977</v>
      </c>
      <c r="I242">
        <v>1.1588276117916236</v>
      </c>
      <c r="L242">
        <f>IF(AND(B242&gt;=0.8,B242&lt;=1.5),1,IF(AND(B242&gt;=0.5,B242&lt;=2),0.5,0))</f>
        <v>0</v>
      </c>
      <c r="M242">
        <f>IF(AND(C242&gt;=0.5,C242&lt;=2),1,IF(AND(C242&gt;=0.1,C242&lt;=5),0.5,0))</f>
        <v>0</v>
      </c>
      <c r="N242">
        <f>IF(AND(G242&gt;=4,G242&lt;=7),1,IF(AND(G242&gt;=3,G242&lt;=8),0.5,0))</f>
        <v>0</v>
      </c>
      <c r="O242">
        <f>IF(AND(F242&gt;=270,F242&lt;=310),1,IF(AND(F242&gt;=250,F242&lt;=330),0.5,0))</f>
        <v>0</v>
      </c>
      <c r="P242">
        <f>IF(AND(E242&gt;=0.8,E242&lt;=1.5),1,IF(AND(E242&gt;=0.5,E242&lt;=2),0.5,0))</f>
        <v>0</v>
      </c>
      <c r="Q242">
        <f>IF(AND(H242&gt;=5000,H242&lt;=6000),1,IF(AND(H242&gt;=4000,H242&lt;5000),0.5,0))</f>
        <v>1</v>
      </c>
      <c r="R242">
        <f>0.35*AVERAGE(L242:M242:N242)+0.3*O242+0.2*P242+0.15*Q242</f>
        <v>0.15</v>
      </c>
      <c r="S242" t="str">
        <f>LEFT(K242,1)</f>
        <v/>
      </c>
      <c r="T242">
        <f>IF(S242="G",1,0)</f>
        <v>0</v>
      </c>
      <c r="U242">
        <f>IF(S242="K",1,0)</f>
        <v>0</v>
      </c>
      <c r="V242">
        <f>IF(S242="M",1,0)</f>
        <v>0</v>
      </c>
      <c r="W242">
        <f>IF(S242="F",1,0)</f>
        <v>0</v>
      </c>
    </row>
    <row r="243" spans="1:23" x14ac:dyDescent="0.3">
      <c r="A243" t="s">
        <v>529</v>
      </c>
      <c r="B243">
        <v>2.2963977</v>
      </c>
      <c r="C243">
        <v>13</v>
      </c>
      <c r="D243">
        <v>2.6800535000000001</v>
      </c>
      <c r="E243">
        <v>3.7600000000000001E-2</v>
      </c>
      <c r="F243">
        <v>1285.1600000000001</v>
      </c>
      <c r="G243">
        <f>IF(OR(C243="",B243="",B243=0),"",5.51*(C243/(B243^3)))</f>
        <v>5.9149849165710426</v>
      </c>
      <c r="H243">
        <v>5497</v>
      </c>
      <c r="I243">
        <v>0.91369843927021954</v>
      </c>
      <c r="J243">
        <v>0.27400000000000002</v>
      </c>
      <c r="L243">
        <f>IF(AND(B243&gt;=0.8,B243&lt;=1.5),1,IF(AND(B243&gt;=0.5,B243&lt;=2),0.5,0))</f>
        <v>0</v>
      </c>
      <c r="M243">
        <f>IF(AND(C243&gt;=0.5,C243&lt;=2),1,IF(AND(C243&gt;=0.1,C243&lt;=5),0.5,0))</f>
        <v>0</v>
      </c>
      <c r="N243">
        <f>IF(AND(G243&gt;=4,G243&lt;=7),1,IF(AND(G243&gt;=3,G243&lt;=8),0.5,0))</f>
        <v>1</v>
      </c>
      <c r="O243">
        <f>IF(AND(F243&gt;=270,F243&lt;=310),1,IF(AND(F243&gt;=250,F243&lt;=330),0.5,0))</f>
        <v>0</v>
      </c>
      <c r="P243">
        <f>IF(AND(E243&gt;=0.8,E243&lt;=1.5),1,IF(AND(E243&gt;=0.5,E243&lt;=2),0.5,0))</f>
        <v>0</v>
      </c>
      <c r="Q243">
        <f>IF(AND(H243&gt;=5000,H243&lt;=6000),1,IF(AND(H243&gt;=4000,H243&lt;5000),0.5,0))</f>
        <v>1</v>
      </c>
      <c r="R243">
        <f>0.35*AVERAGE(L243:M243:N243)+0.3*O243+0.2*P243+0.15*Q243</f>
        <v>0.26666666666666666</v>
      </c>
      <c r="S243" t="str">
        <f>LEFT(K243,1)</f>
        <v/>
      </c>
      <c r="T243">
        <f>IF(S243="G",1,0)</f>
        <v>0</v>
      </c>
      <c r="U243">
        <f>IF(S243="K",1,0)</f>
        <v>0</v>
      </c>
      <c r="V243">
        <f>IF(S243="M",1,0)</f>
        <v>0</v>
      </c>
      <c r="W243">
        <f>IF(S243="F",1,0)</f>
        <v>0</v>
      </c>
    </row>
    <row r="244" spans="1:23" x14ac:dyDescent="0.3">
      <c r="A244" t="s">
        <v>528</v>
      </c>
      <c r="B244">
        <v>2.06</v>
      </c>
      <c r="C244">
        <v>41.317692909999998</v>
      </c>
      <c r="D244">
        <v>10.98462</v>
      </c>
      <c r="E244">
        <v>0.10299999999999999</v>
      </c>
      <c r="F244">
        <v>1062</v>
      </c>
      <c r="G244">
        <f>IF(OR(C244="",B244="",B244=0),"",5.51*(C244/(B244^3)))</f>
        <v>26.042699587145279</v>
      </c>
      <c r="H244">
        <v>6170</v>
      </c>
      <c r="I244">
        <v>2.2518646566643108</v>
      </c>
      <c r="J244">
        <v>0.09</v>
      </c>
      <c r="K244" t="s">
        <v>526</v>
      </c>
      <c r="L244">
        <f>IF(AND(B244&gt;=0.8,B244&lt;=1.5),1,IF(AND(B244&gt;=0.5,B244&lt;=2),0.5,0))</f>
        <v>0</v>
      </c>
      <c r="M244">
        <f>IF(AND(C244&gt;=0.5,C244&lt;=2),1,IF(AND(C244&gt;=0.1,C244&lt;=5),0.5,0))</f>
        <v>0</v>
      </c>
      <c r="N244">
        <f>IF(AND(G244&gt;=4,G244&lt;=7),1,IF(AND(G244&gt;=3,G244&lt;=8),0.5,0))</f>
        <v>0</v>
      </c>
      <c r="O244">
        <f>IF(AND(F244&gt;=270,F244&lt;=310),1,IF(AND(F244&gt;=250,F244&lt;=330),0.5,0))</f>
        <v>0</v>
      </c>
      <c r="P244">
        <f>IF(AND(E244&gt;=0.8,E244&lt;=1.5),1,IF(AND(E244&gt;=0.5,E244&lt;=2),0.5,0))</f>
        <v>0</v>
      </c>
      <c r="Q244">
        <f>IF(AND(H244&gt;=5000,H244&lt;=6000),1,IF(AND(H244&gt;=4000,H244&lt;5000),0.5,0))</f>
        <v>0</v>
      </c>
      <c r="R244">
        <f>0.35*AVERAGE(L244:M244:N244)+0.3*O244+0.2*P244+0.15*Q244</f>
        <v>0</v>
      </c>
      <c r="S244" t="str">
        <f>LEFT(K244,1)</f>
        <v>F</v>
      </c>
      <c r="T244">
        <f>IF(S244="G",1,0)</f>
        <v>0</v>
      </c>
      <c r="U244">
        <f>IF(S244="K",1,0)</f>
        <v>0</v>
      </c>
      <c r="V244">
        <f>IF(S244="M",1,0)</f>
        <v>0</v>
      </c>
      <c r="W244">
        <f>IF(S244="F",1,0)</f>
        <v>1</v>
      </c>
    </row>
    <row r="245" spans="1:23" x14ac:dyDescent="0.3">
      <c r="A245" t="s">
        <v>527</v>
      </c>
      <c r="B245">
        <v>11.06326395</v>
      </c>
      <c r="C245">
        <v>200.23189640999999</v>
      </c>
      <c r="D245">
        <v>40.749760000000002</v>
      </c>
      <c r="E245">
        <v>0.249</v>
      </c>
      <c r="F245">
        <v>684</v>
      </c>
      <c r="G245">
        <f>IF(OR(C245="",B245="",B245=0),"",5.51*(C245/(B245^3)))</f>
        <v>0.81477001426733309</v>
      </c>
      <c r="H245">
        <v>6170</v>
      </c>
      <c r="I245">
        <v>2.2518646566643108</v>
      </c>
      <c r="J245">
        <v>0.09</v>
      </c>
      <c r="K245" t="s">
        <v>526</v>
      </c>
      <c r="L245">
        <f>IF(AND(B245&gt;=0.8,B245&lt;=1.5),1,IF(AND(B245&gt;=0.5,B245&lt;=2),0.5,0))</f>
        <v>0</v>
      </c>
      <c r="M245">
        <f>IF(AND(C245&gt;=0.5,C245&lt;=2),1,IF(AND(C245&gt;=0.1,C245&lt;=5),0.5,0))</f>
        <v>0</v>
      </c>
      <c r="N245">
        <f>IF(AND(G245&gt;=4,G245&lt;=7),1,IF(AND(G245&gt;=3,G245&lt;=8),0.5,0))</f>
        <v>0</v>
      </c>
      <c r="O245">
        <f>IF(AND(F245&gt;=270,F245&lt;=310),1,IF(AND(F245&gt;=250,F245&lt;=330),0.5,0))</f>
        <v>0</v>
      </c>
      <c r="P245">
        <f>IF(AND(E245&gt;=0.8,E245&lt;=1.5),1,IF(AND(E245&gt;=0.5,E245&lt;=2),0.5,0))</f>
        <v>0</v>
      </c>
      <c r="Q245">
        <f>IF(AND(H245&gt;=5000,H245&lt;=6000),1,IF(AND(H245&gt;=4000,H245&lt;5000),0.5,0))</f>
        <v>0</v>
      </c>
      <c r="R245">
        <f>0.35*AVERAGE(L245:M245:N245)+0.3*O245+0.2*P245+0.15*Q245</f>
        <v>0</v>
      </c>
      <c r="S245" t="str">
        <f>LEFT(K245,1)</f>
        <v>F</v>
      </c>
      <c r="T245">
        <f>IF(S245="G",1,0)</f>
        <v>0</v>
      </c>
      <c r="U245">
        <f>IF(S245="K",1,0)</f>
        <v>0</v>
      </c>
      <c r="V245">
        <f>IF(S245="M",1,0)</f>
        <v>0</v>
      </c>
      <c r="W245">
        <f>IF(S245="F",1,0)</f>
        <v>1</v>
      </c>
    </row>
    <row r="246" spans="1:23" x14ac:dyDescent="0.3">
      <c r="A246" t="s">
        <v>525</v>
      </c>
      <c r="B246">
        <v>1.466</v>
      </c>
      <c r="D246">
        <v>4.8026344999999999</v>
      </c>
      <c r="E246">
        <v>3.1440000000000003E-2</v>
      </c>
      <c r="F246">
        <v>404</v>
      </c>
      <c r="G246" t="str">
        <f>IF(OR(C246="",B246="",B246=0),"",5.51*(C246/(B246^3)))</f>
        <v/>
      </c>
      <c r="H246">
        <v>3225</v>
      </c>
      <c r="I246">
        <v>4.3045272308546529E-3</v>
      </c>
      <c r="J246">
        <v>0.04</v>
      </c>
      <c r="K246" t="s">
        <v>524</v>
      </c>
      <c r="L246">
        <f>IF(AND(B246&gt;=0.8,B246&lt;=1.5),1,IF(AND(B246&gt;=0.5,B246&lt;=2),0.5,0))</f>
        <v>1</v>
      </c>
      <c r="M246">
        <f>IF(AND(C246&gt;=0.5,C246&lt;=2),1,IF(AND(C246&gt;=0.1,C246&lt;=5),0.5,0))</f>
        <v>0</v>
      </c>
      <c r="N246">
        <f>IF(AND(G246&gt;=4,G246&lt;=7),1,IF(AND(G246&gt;=3,G246&lt;=8),0.5,0))</f>
        <v>0</v>
      </c>
      <c r="O246">
        <f>IF(AND(F246&gt;=270,F246&lt;=310),1,IF(AND(F246&gt;=250,F246&lt;=330),0.5,0))</f>
        <v>0</v>
      </c>
      <c r="P246">
        <f>IF(AND(E246&gt;=0.8,E246&lt;=1.5),1,IF(AND(E246&gt;=0.5,E246&lt;=2),0.5,0))</f>
        <v>0</v>
      </c>
      <c r="Q246">
        <f>IF(AND(H246&gt;=5000,H246&lt;=6000),1,IF(AND(H246&gt;=4000,H246&lt;5000),0.5,0))</f>
        <v>0</v>
      </c>
      <c r="R246">
        <f>0.35*AVERAGE(L246:M246:N246)+0.3*O246+0.2*P246+0.15*Q246</f>
        <v>0.11666666666666665</v>
      </c>
      <c r="S246" t="str">
        <f>LEFT(K246,1)</f>
        <v>M</v>
      </c>
      <c r="T246">
        <f>IF(S246="G",1,0)</f>
        <v>0</v>
      </c>
      <c r="U246">
        <f>IF(S246="K",1,0)</f>
        <v>0</v>
      </c>
      <c r="V246">
        <f>IF(S246="M",1,0)</f>
        <v>1</v>
      </c>
      <c r="W246">
        <f>IF(S246="F",1,0)</f>
        <v>0</v>
      </c>
    </row>
    <row r="247" spans="1:23" x14ac:dyDescent="0.3">
      <c r="A247" t="s">
        <v>523</v>
      </c>
      <c r="B247">
        <v>2.6381999999999999</v>
      </c>
      <c r="D247">
        <v>3.0575356</v>
      </c>
      <c r="E247">
        <v>3.6507592999999998E-2</v>
      </c>
      <c r="F247">
        <v>929.25</v>
      </c>
      <c r="G247" t="str">
        <f>IF(OR(C247="",B247="",B247=0),"",5.51*(C247/(B247^3)))</f>
        <v/>
      </c>
      <c r="H247">
        <v>4402</v>
      </c>
      <c r="I247">
        <v>0.16507681571364616</v>
      </c>
      <c r="L247">
        <f>IF(AND(B247&gt;=0.8,B247&lt;=1.5),1,IF(AND(B247&gt;=0.5,B247&lt;=2),0.5,0))</f>
        <v>0</v>
      </c>
      <c r="M247">
        <f>IF(AND(C247&gt;=0.5,C247&lt;=2),1,IF(AND(C247&gt;=0.1,C247&lt;=5),0.5,0))</f>
        <v>0</v>
      </c>
      <c r="N247">
        <f>IF(AND(G247&gt;=4,G247&lt;=7),1,IF(AND(G247&gt;=3,G247&lt;=8),0.5,0))</f>
        <v>0</v>
      </c>
      <c r="O247">
        <f>IF(AND(F247&gt;=270,F247&lt;=310),1,IF(AND(F247&gt;=250,F247&lt;=330),0.5,0))</f>
        <v>0</v>
      </c>
      <c r="P247">
        <f>IF(AND(E247&gt;=0.8,E247&lt;=1.5),1,IF(AND(E247&gt;=0.5,E247&lt;=2),0.5,0))</f>
        <v>0</v>
      </c>
      <c r="Q247">
        <f>IF(AND(H247&gt;=5000,H247&lt;=6000),1,IF(AND(H247&gt;=4000,H247&lt;5000),0.5,0))</f>
        <v>0.5</v>
      </c>
      <c r="R247">
        <f>0.35*AVERAGE(L247:M247:N247)+0.3*O247+0.2*P247+0.15*Q247</f>
        <v>7.4999999999999997E-2</v>
      </c>
      <c r="S247" t="str">
        <f>LEFT(K247,1)</f>
        <v/>
      </c>
      <c r="T247">
        <f>IF(S247="G",1,0)</f>
        <v>0</v>
      </c>
      <c r="U247">
        <f>IF(S247="K",1,0)</f>
        <v>0</v>
      </c>
      <c r="V247">
        <f>IF(S247="M",1,0)</f>
        <v>0</v>
      </c>
      <c r="W247">
        <f>IF(S247="F",1,0)</f>
        <v>0</v>
      </c>
    </row>
    <row r="248" spans="1:23" x14ac:dyDescent="0.3">
      <c r="A248" t="s">
        <v>522</v>
      </c>
      <c r="B248">
        <v>1.421</v>
      </c>
      <c r="C248">
        <v>3.07</v>
      </c>
      <c r="D248">
        <v>0.66913922999999997</v>
      </c>
      <c r="E248">
        <v>1.1639999999999999E-2</v>
      </c>
      <c r="F248">
        <v>1000</v>
      </c>
      <c r="G248">
        <f>IF(OR(C248="",B248="",B248=0),"",5.51*(C248/(B248^3)))</f>
        <v>5.8953248436680203</v>
      </c>
      <c r="H248">
        <v>3470</v>
      </c>
      <c r="I248">
        <v>2.7764617849242178E-2</v>
      </c>
      <c r="J248">
        <v>0.01</v>
      </c>
      <c r="K248" t="s">
        <v>521</v>
      </c>
      <c r="L248">
        <f>IF(AND(B248&gt;=0.8,B248&lt;=1.5),1,IF(AND(B248&gt;=0.5,B248&lt;=2),0.5,0))</f>
        <v>1</v>
      </c>
      <c r="M248">
        <f>IF(AND(C248&gt;=0.5,C248&lt;=2),1,IF(AND(C248&gt;=0.1,C248&lt;=5),0.5,0))</f>
        <v>0.5</v>
      </c>
      <c r="N248">
        <f>IF(AND(G248&gt;=4,G248&lt;=7),1,IF(AND(G248&gt;=3,G248&lt;=8),0.5,0))</f>
        <v>1</v>
      </c>
      <c r="O248">
        <f>IF(AND(F248&gt;=270,F248&lt;=310),1,IF(AND(F248&gt;=250,F248&lt;=330),0.5,0))</f>
        <v>0</v>
      </c>
      <c r="P248">
        <f>IF(AND(E248&gt;=0.8,E248&lt;=1.5),1,IF(AND(E248&gt;=0.5,E248&lt;=2),0.5,0))</f>
        <v>0</v>
      </c>
      <c r="Q248">
        <f>IF(AND(H248&gt;=5000,H248&lt;=6000),1,IF(AND(H248&gt;=4000,H248&lt;5000),0.5,0))</f>
        <v>0</v>
      </c>
      <c r="R248">
        <f>0.35*AVERAGE(L248:M248:N248)+0.3*O248+0.2*P248+0.15*Q248</f>
        <v>0.29166666666666669</v>
      </c>
      <c r="S248" t="str">
        <f>LEFT(K248,1)</f>
        <v>M</v>
      </c>
      <c r="T248">
        <f>IF(S248="G",1,0)</f>
        <v>0</v>
      </c>
      <c r="U248">
        <f>IF(S248="K",1,0)</f>
        <v>0</v>
      </c>
      <c r="V248">
        <f>IF(S248="M",1,0)</f>
        <v>1</v>
      </c>
      <c r="W248">
        <f>IF(S248="F",1,0)</f>
        <v>0</v>
      </c>
    </row>
    <row r="249" spans="1:23" x14ac:dyDescent="0.3">
      <c r="A249" t="s">
        <v>520</v>
      </c>
      <c r="B249">
        <v>12.172974</v>
      </c>
      <c r="C249">
        <v>251.40352999999999</v>
      </c>
      <c r="D249">
        <v>2.2554476999999999</v>
      </c>
      <c r="E249">
        <v>3.524E-2</v>
      </c>
      <c r="F249">
        <v>1715</v>
      </c>
      <c r="G249">
        <f>IF(OR(C249="",B249="",B249=0),"",5.51*(C249/(B249^3)))</f>
        <v>0.76794989790805956</v>
      </c>
      <c r="H249">
        <v>5880</v>
      </c>
      <c r="I249">
        <v>1.7792250330862744</v>
      </c>
      <c r="J249">
        <v>0.24</v>
      </c>
      <c r="K249" t="s">
        <v>519</v>
      </c>
      <c r="L249">
        <f>IF(AND(B249&gt;=0.8,B249&lt;=1.5),1,IF(AND(B249&gt;=0.5,B249&lt;=2),0.5,0))</f>
        <v>0</v>
      </c>
      <c r="M249">
        <f>IF(AND(C249&gt;=0.5,C249&lt;=2),1,IF(AND(C249&gt;=0.1,C249&lt;=5),0.5,0))</f>
        <v>0</v>
      </c>
      <c r="N249">
        <f>IF(AND(G249&gt;=4,G249&lt;=7),1,IF(AND(G249&gt;=3,G249&lt;=8),0.5,0))</f>
        <v>0</v>
      </c>
      <c r="O249">
        <f>IF(AND(F249&gt;=270,F249&lt;=310),1,IF(AND(F249&gt;=250,F249&lt;=330),0.5,0))</f>
        <v>0</v>
      </c>
      <c r="P249">
        <f>IF(AND(E249&gt;=0.8,E249&lt;=1.5),1,IF(AND(E249&gt;=0.5,E249&lt;=2),0.5,0))</f>
        <v>0</v>
      </c>
      <c r="Q249">
        <f>IF(AND(H249&gt;=5000,H249&lt;=6000),1,IF(AND(H249&gt;=4000,H249&lt;5000),0.5,0))</f>
        <v>1</v>
      </c>
      <c r="R249">
        <f>0.35*AVERAGE(L249:M249:N249)+0.3*O249+0.2*P249+0.15*Q249</f>
        <v>0.15</v>
      </c>
      <c r="S249" t="str">
        <f>LEFT(K249,1)</f>
        <v>G</v>
      </c>
      <c r="T249">
        <f>IF(S249="G",1,0)</f>
        <v>1</v>
      </c>
      <c r="U249">
        <f>IF(S249="K",1,0)</f>
        <v>0</v>
      </c>
      <c r="V249">
        <f>IF(S249="M",1,0)</f>
        <v>0</v>
      </c>
      <c r="W249">
        <f>IF(S249="F",1,0)</f>
        <v>0</v>
      </c>
    </row>
    <row r="250" spans="1:23" x14ac:dyDescent="0.3">
      <c r="A250" t="s">
        <v>518</v>
      </c>
      <c r="B250">
        <v>3.66</v>
      </c>
      <c r="D250">
        <v>16.736888935</v>
      </c>
      <c r="E250">
        <v>0.12936500000000001</v>
      </c>
      <c r="G250" t="str">
        <f>IF(OR(C250="",B250="",B250=0),"",5.51*(C250/(B250^3)))</f>
        <v/>
      </c>
      <c r="H250">
        <v>5759</v>
      </c>
      <c r="I250">
        <v>0.9869113965167321</v>
      </c>
      <c r="L250">
        <f>IF(AND(B250&gt;=0.8,B250&lt;=1.5),1,IF(AND(B250&gt;=0.5,B250&lt;=2),0.5,0))</f>
        <v>0</v>
      </c>
      <c r="M250">
        <f>IF(AND(C250&gt;=0.5,C250&lt;=2),1,IF(AND(C250&gt;=0.1,C250&lt;=5),0.5,0))</f>
        <v>0</v>
      </c>
      <c r="N250">
        <f>IF(AND(G250&gt;=4,G250&lt;=7),1,IF(AND(G250&gt;=3,G250&lt;=8),0.5,0))</f>
        <v>0</v>
      </c>
      <c r="O250">
        <f>IF(AND(F250&gt;=270,F250&lt;=310),1,IF(AND(F250&gt;=250,F250&lt;=330),0.5,0))</f>
        <v>0</v>
      </c>
      <c r="P250">
        <f>IF(AND(E250&gt;=0.8,E250&lt;=1.5),1,IF(AND(E250&gt;=0.5,E250&lt;=2),0.5,0))</f>
        <v>0</v>
      </c>
      <c r="Q250">
        <f>IF(AND(H250&gt;=5000,H250&lt;=6000),1,IF(AND(H250&gt;=4000,H250&lt;5000),0.5,0))</f>
        <v>1</v>
      </c>
      <c r="R250">
        <f>0.35*AVERAGE(L250:M250:N250)+0.3*O250+0.2*P250+0.15*Q250</f>
        <v>0.15</v>
      </c>
      <c r="S250" t="str">
        <f>LEFT(K250,1)</f>
        <v/>
      </c>
      <c r="T250">
        <f>IF(S250="G",1,0)</f>
        <v>0</v>
      </c>
      <c r="U250">
        <f>IF(S250="K",1,0)</f>
        <v>0</v>
      </c>
      <c r="V250">
        <f>IF(S250="M",1,0)</f>
        <v>0</v>
      </c>
      <c r="W250">
        <f>IF(S250="F",1,0)</f>
        <v>0</v>
      </c>
    </row>
    <row r="251" spans="1:23" x14ac:dyDescent="0.3">
      <c r="A251" t="s">
        <v>517</v>
      </c>
      <c r="B251">
        <v>1.41</v>
      </c>
      <c r="D251">
        <v>1.7666957000000001</v>
      </c>
      <c r="E251">
        <v>2.2599999999999999E-2</v>
      </c>
      <c r="F251">
        <v>764</v>
      </c>
      <c r="G251" t="str">
        <f>IF(OR(C251="",B251="",B251=0),"",5.51*(C251/(B251^3)))</f>
        <v/>
      </c>
      <c r="H251">
        <v>3499</v>
      </c>
      <c r="I251">
        <v>2.8456486906359237E-2</v>
      </c>
      <c r="L251">
        <f>IF(AND(B251&gt;=0.8,B251&lt;=1.5),1,IF(AND(B251&gt;=0.5,B251&lt;=2),0.5,0))</f>
        <v>1</v>
      </c>
      <c r="M251">
        <f>IF(AND(C251&gt;=0.5,C251&lt;=2),1,IF(AND(C251&gt;=0.1,C251&lt;=5),0.5,0))</f>
        <v>0</v>
      </c>
      <c r="N251">
        <f>IF(AND(G251&gt;=4,G251&lt;=7),1,IF(AND(G251&gt;=3,G251&lt;=8),0.5,0))</f>
        <v>0</v>
      </c>
      <c r="O251">
        <f>IF(AND(F251&gt;=270,F251&lt;=310),1,IF(AND(F251&gt;=250,F251&lt;=330),0.5,0))</f>
        <v>0</v>
      </c>
      <c r="P251">
        <f>IF(AND(E251&gt;=0.8,E251&lt;=1.5),1,IF(AND(E251&gt;=0.5,E251&lt;=2),0.5,0))</f>
        <v>0</v>
      </c>
      <c r="Q251">
        <f>IF(AND(H251&gt;=5000,H251&lt;=6000),1,IF(AND(H251&gt;=4000,H251&lt;5000),0.5,0))</f>
        <v>0</v>
      </c>
      <c r="R251">
        <f>0.35*AVERAGE(L251:M251:N251)+0.3*O251+0.2*P251+0.15*Q251</f>
        <v>0.11666666666666665</v>
      </c>
      <c r="S251" t="str">
        <f>LEFT(K251,1)</f>
        <v/>
      </c>
      <c r="T251">
        <f>IF(S251="G",1,0)</f>
        <v>0</v>
      </c>
      <c r="U251">
        <f>IF(S251="K",1,0)</f>
        <v>0</v>
      </c>
      <c r="V251">
        <f>IF(S251="M",1,0)</f>
        <v>0</v>
      </c>
      <c r="W251">
        <f>IF(S251="F",1,0)</f>
        <v>0</v>
      </c>
    </row>
    <row r="252" spans="1:23" x14ac:dyDescent="0.3">
      <c r="A252" t="s">
        <v>516</v>
      </c>
      <c r="B252">
        <v>5.3422266</v>
      </c>
      <c r="C252">
        <v>31.3</v>
      </c>
      <c r="D252">
        <v>3.7701069999999999</v>
      </c>
      <c r="E252">
        <v>4.4999999999999998E-2</v>
      </c>
      <c r="F252">
        <v>943.19</v>
      </c>
      <c r="G252">
        <f>IF(OR(C252="",B252="",B252=0),"",5.51*(C252/(B252^3)))</f>
        <v>1.1311729731007478</v>
      </c>
      <c r="H252">
        <v>5058</v>
      </c>
      <c r="I252">
        <v>0.379214562065253</v>
      </c>
      <c r="J252">
        <v>0.13100000000000001</v>
      </c>
      <c r="L252">
        <f>IF(AND(B252&gt;=0.8,B252&lt;=1.5),1,IF(AND(B252&gt;=0.5,B252&lt;=2),0.5,0))</f>
        <v>0</v>
      </c>
      <c r="M252">
        <f>IF(AND(C252&gt;=0.5,C252&lt;=2),1,IF(AND(C252&gt;=0.1,C252&lt;=5),0.5,0))</f>
        <v>0</v>
      </c>
      <c r="N252">
        <f>IF(AND(G252&gt;=4,G252&lt;=7),1,IF(AND(G252&gt;=3,G252&lt;=8),0.5,0))</f>
        <v>0</v>
      </c>
      <c r="O252">
        <f>IF(AND(F252&gt;=270,F252&lt;=310),1,IF(AND(F252&gt;=250,F252&lt;=330),0.5,0))</f>
        <v>0</v>
      </c>
      <c r="P252">
        <f>IF(AND(E252&gt;=0.8,E252&lt;=1.5),1,IF(AND(E252&gt;=0.5,E252&lt;=2),0.5,0))</f>
        <v>0</v>
      </c>
      <c r="Q252">
        <f>IF(AND(H252&gt;=5000,H252&lt;=6000),1,IF(AND(H252&gt;=4000,H252&lt;5000),0.5,0))</f>
        <v>1</v>
      </c>
      <c r="R252">
        <f>0.35*AVERAGE(L252:M252:N252)+0.3*O252+0.2*P252+0.15*Q252</f>
        <v>0.15</v>
      </c>
      <c r="S252" t="str">
        <f>LEFT(K252,1)</f>
        <v/>
      </c>
      <c r="T252">
        <f>IF(S252="G",1,0)</f>
        <v>0</v>
      </c>
      <c r="U252">
        <f>IF(S252="K",1,0)</f>
        <v>0</v>
      </c>
      <c r="V252">
        <f>IF(S252="M",1,0)</f>
        <v>0</v>
      </c>
      <c r="W252">
        <f>IF(S252="F",1,0)</f>
        <v>0</v>
      </c>
    </row>
    <row r="253" spans="1:23" x14ac:dyDescent="0.3">
      <c r="A253" t="s">
        <v>515</v>
      </c>
      <c r="B253">
        <v>1.9</v>
      </c>
      <c r="C253">
        <v>6.36</v>
      </c>
      <c r="D253">
        <v>3.1342791000000001</v>
      </c>
      <c r="E253">
        <v>3.3548000000000001E-2</v>
      </c>
      <c r="F253">
        <v>698</v>
      </c>
      <c r="G253">
        <f>IF(OR(C253="",B253="",B253=0),"",5.51*(C253/(B253^3)))</f>
        <v>5.1091412742382278</v>
      </c>
      <c r="H253">
        <v>3690</v>
      </c>
      <c r="I253">
        <v>4.4117386055394017E-2</v>
      </c>
      <c r="J253">
        <v>0</v>
      </c>
      <c r="K253" t="s">
        <v>51</v>
      </c>
      <c r="L253">
        <f>IF(AND(B253&gt;=0.8,B253&lt;=1.5),1,IF(AND(B253&gt;=0.5,B253&lt;=2),0.5,0))</f>
        <v>0.5</v>
      </c>
      <c r="M253">
        <f>IF(AND(C253&gt;=0.5,C253&lt;=2),1,IF(AND(C253&gt;=0.1,C253&lt;=5),0.5,0))</f>
        <v>0</v>
      </c>
      <c r="N253">
        <f>IF(AND(G253&gt;=4,G253&lt;=7),1,IF(AND(G253&gt;=3,G253&lt;=8),0.5,0))</f>
        <v>1</v>
      </c>
      <c r="O253">
        <f>IF(AND(F253&gt;=270,F253&lt;=310),1,IF(AND(F253&gt;=250,F253&lt;=330),0.5,0))</f>
        <v>0</v>
      </c>
      <c r="P253">
        <f>IF(AND(E253&gt;=0.8,E253&lt;=1.5),1,IF(AND(E253&gt;=0.5,E253&lt;=2),0.5,0))</f>
        <v>0</v>
      </c>
      <c r="Q253">
        <f>IF(AND(H253&gt;=5000,H253&lt;=6000),1,IF(AND(H253&gt;=4000,H253&lt;5000),0.5,0))</f>
        <v>0</v>
      </c>
      <c r="R253">
        <f>0.35*AVERAGE(L253:M253:N253)+0.3*O253+0.2*P253+0.15*Q253</f>
        <v>0.17499999999999999</v>
      </c>
      <c r="S253" t="str">
        <f>LEFT(K253,1)</f>
        <v>M</v>
      </c>
      <c r="T253">
        <f>IF(S253="G",1,0)</f>
        <v>0</v>
      </c>
      <c r="U253">
        <f>IF(S253="K",1,0)</f>
        <v>0</v>
      </c>
      <c r="V253">
        <f>IF(S253="M",1,0)</f>
        <v>1</v>
      </c>
      <c r="W253">
        <f>IF(S253="F",1,0)</f>
        <v>0</v>
      </c>
    </row>
    <row r="254" spans="1:23" x14ac:dyDescent="0.3">
      <c r="A254" t="s">
        <v>514</v>
      </c>
      <c r="B254">
        <v>3.09</v>
      </c>
      <c r="C254">
        <v>48.8</v>
      </c>
      <c r="D254">
        <v>2.500311</v>
      </c>
      <c r="E254">
        <v>2.29E-2</v>
      </c>
      <c r="F254">
        <v>489</v>
      </c>
      <c r="G254">
        <f>IF(OR(C254="",B254="",B254=0),"",5.51*(C254/(B254^3)))</f>
        <v>9.1137263148204575</v>
      </c>
      <c r="H254">
        <v>3185</v>
      </c>
      <c r="I254">
        <v>7.1097375853794321E-3</v>
      </c>
      <c r="J254">
        <v>0.33600000000000002</v>
      </c>
      <c r="K254" t="s">
        <v>513</v>
      </c>
      <c r="L254">
        <f>IF(AND(B254&gt;=0.8,B254&lt;=1.5),1,IF(AND(B254&gt;=0.5,B254&lt;=2),0.5,0))</f>
        <v>0</v>
      </c>
      <c r="M254">
        <f>IF(AND(C254&gt;=0.5,C254&lt;=2),1,IF(AND(C254&gt;=0.1,C254&lt;=5),0.5,0))</f>
        <v>0</v>
      </c>
      <c r="N254">
        <f>IF(AND(G254&gt;=4,G254&lt;=7),1,IF(AND(G254&gt;=3,G254&lt;=8),0.5,0))</f>
        <v>0</v>
      </c>
      <c r="O254">
        <f>IF(AND(F254&gt;=270,F254&lt;=310),1,IF(AND(F254&gt;=250,F254&lt;=330),0.5,0))</f>
        <v>0</v>
      </c>
      <c r="P254">
        <f>IF(AND(E254&gt;=0.8,E254&lt;=1.5),1,IF(AND(E254&gt;=0.5,E254&lt;=2),0.5,0))</f>
        <v>0</v>
      </c>
      <c r="Q254">
        <f>IF(AND(H254&gt;=5000,H254&lt;=6000),1,IF(AND(H254&gt;=4000,H254&lt;5000),0.5,0))</f>
        <v>0</v>
      </c>
      <c r="R254">
        <f>0.35*AVERAGE(L254:M254:N254)+0.3*O254+0.2*P254+0.15*Q254</f>
        <v>0</v>
      </c>
      <c r="S254" t="str">
        <f>LEFT(K254,1)</f>
        <v>M</v>
      </c>
      <c r="T254">
        <f>IF(S254="G",1,0)</f>
        <v>0</v>
      </c>
      <c r="U254">
        <f>IF(S254="K",1,0)</f>
        <v>0</v>
      </c>
      <c r="V254">
        <f>IF(S254="M",1,0)</f>
        <v>1</v>
      </c>
      <c r="W254">
        <f>IF(S254="F",1,0)</f>
        <v>0</v>
      </c>
    </row>
    <row r="255" spans="1:23" x14ac:dyDescent="0.3">
      <c r="A255" t="s">
        <v>512</v>
      </c>
      <c r="B255">
        <v>5.2031515800000001</v>
      </c>
      <c r="C255">
        <v>22.4</v>
      </c>
      <c r="D255">
        <v>24.283377000000002</v>
      </c>
      <c r="E255">
        <v>0.16600000000000001</v>
      </c>
      <c r="F255">
        <v>602.99</v>
      </c>
      <c r="G255">
        <f>IF(OR(C255="",B255="",B255=0),"",5.51*(C255/(B255^3)))</f>
        <v>0.87619381439994537</v>
      </c>
      <c r="H255">
        <v>5684</v>
      </c>
      <c r="I255">
        <v>0.85840645208607136</v>
      </c>
      <c r="J255">
        <v>0.14699999999999999</v>
      </c>
      <c r="L255">
        <f>IF(AND(B255&gt;=0.8,B255&lt;=1.5),1,IF(AND(B255&gt;=0.5,B255&lt;=2),0.5,0))</f>
        <v>0</v>
      </c>
      <c r="M255">
        <f>IF(AND(C255&gt;=0.5,C255&lt;=2),1,IF(AND(C255&gt;=0.1,C255&lt;=5),0.5,0))</f>
        <v>0</v>
      </c>
      <c r="N255">
        <f>IF(AND(G255&gt;=4,G255&lt;=7),1,IF(AND(G255&gt;=3,G255&lt;=8),0.5,0))</f>
        <v>0</v>
      </c>
      <c r="O255">
        <f>IF(AND(F255&gt;=270,F255&lt;=310),1,IF(AND(F255&gt;=250,F255&lt;=330),0.5,0))</f>
        <v>0</v>
      </c>
      <c r="P255">
        <f>IF(AND(E255&gt;=0.8,E255&lt;=1.5),1,IF(AND(E255&gt;=0.5,E255&lt;=2),0.5,0))</f>
        <v>0</v>
      </c>
      <c r="Q255">
        <f>IF(AND(H255&gt;=5000,H255&lt;=6000),1,IF(AND(H255&gt;=4000,H255&lt;5000),0.5,0))</f>
        <v>1</v>
      </c>
      <c r="R255">
        <f>0.35*AVERAGE(L255:M255:N255)+0.3*O255+0.2*P255+0.15*Q255</f>
        <v>0.15</v>
      </c>
      <c r="S255" t="str">
        <f>LEFT(K255,1)</f>
        <v/>
      </c>
      <c r="T255">
        <f>IF(S255="G",1,0)</f>
        <v>0</v>
      </c>
      <c r="U255">
        <f>IF(S255="K",1,0)</f>
        <v>0</v>
      </c>
      <c r="V255">
        <f>IF(S255="M",1,0)</f>
        <v>0</v>
      </c>
      <c r="W255">
        <f>IF(S255="F",1,0)</f>
        <v>0</v>
      </c>
    </row>
    <row r="256" spans="1:23" x14ac:dyDescent="0.3">
      <c r="A256" t="s">
        <v>511</v>
      </c>
      <c r="B256">
        <v>3.1429999999999998</v>
      </c>
      <c r="D256">
        <v>8.0823765539999997</v>
      </c>
      <c r="E256">
        <v>8.0495999999999998E-2</v>
      </c>
      <c r="G256" t="str">
        <f>IF(OR(C256="",B256="",B256=0),"",5.51*(C256/(B256^3)))</f>
        <v/>
      </c>
      <c r="H256">
        <v>5879</v>
      </c>
      <c r="I256">
        <v>1.6479614986392477</v>
      </c>
      <c r="L256">
        <f>IF(AND(B256&gt;=0.8,B256&lt;=1.5),1,IF(AND(B256&gt;=0.5,B256&lt;=2),0.5,0))</f>
        <v>0</v>
      </c>
      <c r="M256">
        <f>IF(AND(C256&gt;=0.5,C256&lt;=2),1,IF(AND(C256&gt;=0.1,C256&lt;=5),0.5,0))</f>
        <v>0</v>
      </c>
      <c r="N256">
        <f>IF(AND(G256&gt;=4,G256&lt;=7),1,IF(AND(G256&gt;=3,G256&lt;=8),0.5,0))</f>
        <v>0</v>
      </c>
      <c r="O256">
        <f>IF(AND(F256&gt;=270,F256&lt;=310),1,IF(AND(F256&gt;=250,F256&lt;=330),0.5,0))</f>
        <v>0</v>
      </c>
      <c r="P256">
        <f>IF(AND(E256&gt;=0.8,E256&lt;=1.5),1,IF(AND(E256&gt;=0.5,E256&lt;=2),0.5,0))</f>
        <v>0</v>
      </c>
      <c r="Q256">
        <f>IF(AND(H256&gt;=5000,H256&lt;=6000),1,IF(AND(H256&gt;=4000,H256&lt;5000),0.5,0))</f>
        <v>1</v>
      </c>
      <c r="R256">
        <f>0.35*AVERAGE(L256:M256:N256)+0.3*O256+0.2*P256+0.15*Q256</f>
        <v>0.15</v>
      </c>
      <c r="S256" t="str">
        <f>LEFT(K256,1)</f>
        <v/>
      </c>
      <c r="T256">
        <f>IF(S256="G",1,0)</f>
        <v>0</v>
      </c>
      <c r="U256">
        <f>IF(S256="K",1,0)</f>
        <v>0</v>
      </c>
      <c r="V256">
        <f>IF(S256="M",1,0)</f>
        <v>0</v>
      </c>
      <c r="W256">
        <f>IF(S256="F",1,0)</f>
        <v>0</v>
      </c>
    </row>
    <row r="257" spans="1:23" x14ac:dyDescent="0.3">
      <c r="A257" t="s">
        <v>510</v>
      </c>
      <c r="B257">
        <v>10.816685</v>
      </c>
      <c r="C257">
        <v>1722.6386</v>
      </c>
      <c r="D257">
        <v>9.4772499999999997</v>
      </c>
      <c r="E257">
        <v>9.1399999999999995E-2</v>
      </c>
      <c r="F257">
        <v>1198</v>
      </c>
      <c r="G257">
        <f>IF(OR(C257="",B257="",B257=0),"",5.51*(C257/(B257^3)))</f>
        <v>7.5000338890296652</v>
      </c>
      <c r="H257">
        <v>5645</v>
      </c>
      <c r="I257">
        <v>2.8768716771709806</v>
      </c>
      <c r="J257">
        <v>0.14799999999999999</v>
      </c>
      <c r="L257">
        <f>IF(AND(B257&gt;=0.8,B257&lt;=1.5),1,IF(AND(B257&gt;=0.5,B257&lt;=2),0.5,0))</f>
        <v>0</v>
      </c>
      <c r="M257">
        <f>IF(AND(C257&gt;=0.5,C257&lt;=2),1,IF(AND(C257&gt;=0.1,C257&lt;=5),0.5,0))</f>
        <v>0</v>
      </c>
      <c r="N257">
        <f>IF(AND(G257&gt;=4,G257&lt;=7),1,IF(AND(G257&gt;=3,G257&lt;=8),0.5,0))</f>
        <v>0.5</v>
      </c>
      <c r="O257">
        <f>IF(AND(F257&gt;=270,F257&lt;=310),1,IF(AND(F257&gt;=250,F257&lt;=330),0.5,0))</f>
        <v>0</v>
      </c>
      <c r="P257">
        <f>IF(AND(E257&gt;=0.8,E257&lt;=1.5),1,IF(AND(E257&gt;=0.5,E257&lt;=2),0.5,0))</f>
        <v>0</v>
      </c>
      <c r="Q257">
        <f>IF(AND(H257&gt;=5000,H257&lt;=6000),1,IF(AND(H257&gt;=4000,H257&lt;5000),0.5,0))</f>
        <v>1</v>
      </c>
      <c r="R257">
        <f>0.35*AVERAGE(L257:M257:N257)+0.3*O257+0.2*P257+0.15*Q257</f>
        <v>0.20833333333333331</v>
      </c>
      <c r="S257" t="str">
        <f>LEFT(K257,1)</f>
        <v/>
      </c>
      <c r="T257">
        <f>IF(S257="G",1,0)</f>
        <v>0</v>
      </c>
      <c r="U257">
        <f>IF(S257="K",1,0)</f>
        <v>0</v>
      </c>
      <c r="V257">
        <f>IF(S257="M",1,0)</f>
        <v>0</v>
      </c>
      <c r="W257">
        <f>IF(S257="F",1,0)</f>
        <v>0</v>
      </c>
    </row>
    <row r="258" spans="1:23" x14ac:dyDescent="0.3">
      <c r="A258" t="s">
        <v>509</v>
      </c>
      <c r="B258">
        <v>3.4350000000000001</v>
      </c>
      <c r="D258">
        <v>13.727012643</v>
      </c>
      <c r="E258">
        <v>0.113496</v>
      </c>
      <c r="G258" t="str">
        <f>IF(OR(C258="",B258="",B258=0),"",5.51*(C258/(B258^3)))</f>
        <v/>
      </c>
      <c r="H258">
        <v>5777</v>
      </c>
      <c r="I258">
        <v>1.1872777143659325</v>
      </c>
      <c r="L258">
        <f>IF(AND(B258&gt;=0.8,B258&lt;=1.5),1,IF(AND(B258&gt;=0.5,B258&lt;=2),0.5,0))</f>
        <v>0</v>
      </c>
      <c r="M258">
        <f>IF(AND(C258&gt;=0.5,C258&lt;=2),1,IF(AND(C258&gt;=0.1,C258&lt;=5),0.5,0))</f>
        <v>0</v>
      </c>
      <c r="N258">
        <f>IF(AND(G258&gt;=4,G258&lt;=7),1,IF(AND(G258&gt;=3,G258&lt;=8),0.5,0))</f>
        <v>0</v>
      </c>
      <c r="O258">
        <f>IF(AND(F258&gt;=270,F258&lt;=310),1,IF(AND(F258&gt;=250,F258&lt;=330),0.5,0))</f>
        <v>0</v>
      </c>
      <c r="P258">
        <f>IF(AND(E258&gt;=0.8,E258&lt;=1.5),1,IF(AND(E258&gt;=0.5,E258&lt;=2),0.5,0))</f>
        <v>0</v>
      </c>
      <c r="Q258">
        <f>IF(AND(H258&gt;=5000,H258&lt;=6000),1,IF(AND(H258&gt;=4000,H258&lt;5000),0.5,0))</f>
        <v>1</v>
      </c>
      <c r="R258">
        <f>0.35*AVERAGE(L258:M258:N258)+0.3*O258+0.2*P258+0.15*Q258</f>
        <v>0.15</v>
      </c>
      <c r="S258" t="str">
        <f>LEFT(K258,1)</f>
        <v/>
      </c>
      <c r="T258">
        <f>IF(S258="G",1,0)</f>
        <v>0</v>
      </c>
      <c r="U258">
        <f>IF(S258="K",1,0)</f>
        <v>0</v>
      </c>
      <c r="V258">
        <f>IF(S258="M",1,0)</f>
        <v>0</v>
      </c>
      <c r="W258">
        <f>IF(S258="F",1,0)</f>
        <v>0</v>
      </c>
    </row>
    <row r="259" spans="1:23" x14ac:dyDescent="0.3">
      <c r="A259" t="s">
        <v>508</v>
      </c>
      <c r="B259">
        <v>5.05</v>
      </c>
      <c r="C259">
        <v>26.78</v>
      </c>
      <c r="D259">
        <v>3.4915099999999999</v>
      </c>
      <c r="E259">
        <v>3.9100000000000003E-2</v>
      </c>
      <c r="F259">
        <v>767</v>
      </c>
      <c r="G259">
        <f>IF(OR(C259="",B259="",B259=0),"",5.51*(C259/(B259^3)))</f>
        <v>1.1457451754390222</v>
      </c>
      <c r="H259">
        <v>3980</v>
      </c>
      <c r="I259">
        <v>8.7742258318419794E-2</v>
      </c>
      <c r="J259">
        <v>0.25</v>
      </c>
      <c r="K259" t="s">
        <v>507</v>
      </c>
      <c r="L259">
        <f>IF(AND(B259&gt;=0.8,B259&lt;=1.5),1,IF(AND(B259&gt;=0.5,B259&lt;=2),0.5,0))</f>
        <v>0</v>
      </c>
      <c r="M259">
        <f>IF(AND(C259&gt;=0.5,C259&lt;=2),1,IF(AND(C259&gt;=0.1,C259&lt;=5),0.5,0))</f>
        <v>0</v>
      </c>
      <c r="N259">
        <f>IF(AND(G259&gt;=4,G259&lt;=7),1,IF(AND(G259&gt;=3,G259&lt;=8),0.5,0))</f>
        <v>0</v>
      </c>
      <c r="O259">
        <f>IF(AND(F259&gt;=270,F259&lt;=310),1,IF(AND(F259&gt;=250,F259&lt;=330),0.5,0))</f>
        <v>0</v>
      </c>
      <c r="P259">
        <f>IF(AND(E259&gt;=0.8,E259&lt;=1.5),1,IF(AND(E259&gt;=0.5,E259&lt;=2),0.5,0))</f>
        <v>0</v>
      </c>
      <c r="Q259">
        <f>IF(AND(H259&gt;=5000,H259&lt;=6000),1,IF(AND(H259&gt;=4000,H259&lt;5000),0.5,0))</f>
        <v>0</v>
      </c>
      <c r="R259">
        <f>0.35*AVERAGE(L259:M259:N259)+0.3*O259+0.2*P259+0.15*Q259</f>
        <v>0</v>
      </c>
      <c r="S259" t="str">
        <f>LEFT(K259,1)</f>
        <v>M</v>
      </c>
      <c r="T259">
        <f>IF(S259="G",1,0)</f>
        <v>0</v>
      </c>
      <c r="U259">
        <f>IF(S259="K",1,0)</f>
        <v>0</v>
      </c>
      <c r="V259">
        <f>IF(S259="M",1,0)</f>
        <v>1</v>
      </c>
      <c r="W259">
        <f>IF(S259="F",1,0)</f>
        <v>0</v>
      </c>
    </row>
    <row r="260" spans="1:23" x14ac:dyDescent="0.3">
      <c r="A260" t="s">
        <v>506</v>
      </c>
      <c r="B260">
        <v>3.18175535</v>
      </c>
      <c r="C260">
        <v>12.3</v>
      </c>
      <c r="D260">
        <v>7.0730760000000004</v>
      </c>
      <c r="E260">
        <v>7.2999999999999995E-2</v>
      </c>
      <c r="F260">
        <v>1099.79</v>
      </c>
      <c r="G260">
        <f>IF(OR(C260="",B260="",B260=0),"",5.51*(C260/(B260^3)))</f>
        <v>2.1040514783732025</v>
      </c>
      <c r="H260">
        <v>5636</v>
      </c>
      <c r="I260">
        <v>1.8475452303222373</v>
      </c>
      <c r="J260">
        <v>0.14799999999999999</v>
      </c>
      <c r="L260">
        <f>IF(AND(B260&gt;=0.8,B260&lt;=1.5),1,IF(AND(B260&gt;=0.5,B260&lt;=2),0.5,0))</f>
        <v>0</v>
      </c>
      <c r="M260">
        <f>IF(AND(C260&gt;=0.5,C260&lt;=2),1,IF(AND(C260&gt;=0.1,C260&lt;=5),0.5,0))</f>
        <v>0</v>
      </c>
      <c r="N260">
        <f>IF(AND(G260&gt;=4,G260&lt;=7),1,IF(AND(G260&gt;=3,G260&lt;=8),0.5,0))</f>
        <v>0</v>
      </c>
      <c r="O260">
        <f>IF(AND(F260&gt;=270,F260&lt;=310),1,IF(AND(F260&gt;=250,F260&lt;=330),0.5,0))</f>
        <v>0</v>
      </c>
      <c r="P260">
        <f>IF(AND(E260&gt;=0.8,E260&lt;=1.5),1,IF(AND(E260&gt;=0.5,E260&lt;=2),0.5,0))</f>
        <v>0</v>
      </c>
      <c r="Q260">
        <f>IF(AND(H260&gt;=5000,H260&lt;=6000),1,IF(AND(H260&gt;=4000,H260&lt;5000),0.5,0))</f>
        <v>1</v>
      </c>
      <c r="R260">
        <f>0.35*AVERAGE(L260:M260:N260)+0.3*O260+0.2*P260+0.15*Q260</f>
        <v>0.15</v>
      </c>
      <c r="S260" t="str">
        <f>LEFT(K260,1)</f>
        <v/>
      </c>
      <c r="T260">
        <f>IF(S260="G",1,0)</f>
        <v>0</v>
      </c>
      <c r="U260">
        <f>IF(S260="K",1,0)</f>
        <v>0</v>
      </c>
      <c r="V260">
        <f>IF(S260="M",1,0)</f>
        <v>0</v>
      </c>
      <c r="W260">
        <f>IF(S260="F",1,0)</f>
        <v>0</v>
      </c>
    </row>
    <row r="261" spans="1:23" x14ac:dyDescent="0.3">
      <c r="A261" t="s">
        <v>505</v>
      </c>
      <c r="B261">
        <v>1.946</v>
      </c>
      <c r="D261">
        <v>8.3033414059999995</v>
      </c>
      <c r="E261">
        <v>7.3871999999999993E-2</v>
      </c>
      <c r="G261" t="str">
        <f>IF(OR(C261="",B261="",B261=0),"",5.51*(C261/(B261^3)))</f>
        <v/>
      </c>
      <c r="H261">
        <v>4814</v>
      </c>
      <c r="I261">
        <v>0.29391128495967112</v>
      </c>
      <c r="L261">
        <f>IF(AND(B261&gt;=0.8,B261&lt;=1.5),1,IF(AND(B261&gt;=0.5,B261&lt;=2),0.5,0))</f>
        <v>0.5</v>
      </c>
      <c r="M261">
        <f>IF(AND(C261&gt;=0.5,C261&lt;=2),1,IF(AND(C261&gt;=0.1,C261&lt;=5),0.5,0))</f>
        <v>0</v>
      </c>
      <c r="N261">
        <f>IF(AND(G261&gt;=4,G261&lt;=7),1,IF(AND(G261&gt;=3,G261&lt;=8),0.5,0))</f>
        <v>0</v>
      </c>
      <c r="O261">
        <f>IF(AND(F261&gt;=270,F261&lt;=310),1,IF(AND(F261&gt;=250,F261&lt;=330),0.5,0))</f>
        <v>0</v>
      </c>
      <c r="P261">
        <f>IF(AND(E261&gt;=0.8,E261&lt;=1.5),1,IF(AND(E261&gt;=0.5,E261&lt;=2),0.5,0))</f>
        <v>0</v>
      </c>
      <c r="Q261">
        <f>IF(AND(H261&gt;=5000,H261&lt;=6000),1,IF(AND(H261&gt;=4000,H261&lt;5000),0.5,0))</f>
        <v>0.5</v>
      </c>
      <c r="R261">
        <f>0.35*AVERAGE(L261:M261:N261)+0.3*O261+0.2*P261+0.15*Q261</f>
        <v>0.13333333333333333</v>
      </c>
      <c r="S261" t="str">
        <f>LEFT(K261,1)</f>
        <v/>
      </c>
      <c r="T261">
        <f>IF(S261="G",1,0)</f>
        <v>0</v>
      </c>
      <c r="U261">
        <f>IF(S261="K",1,0)</f>
        <v>0</v>
      </c>
      <c r="V261">
        <f>IF(S261="M",1,0)</f>
        <v>0</v>
      </c>
      <c r="W261">
        <f>IF(S261="F",1,0)</f>
        <v>0</v>
      </c>
    </row>
    <row r="262" spans="1:23" x14ac:dyDescent="0.3">
      <c r="A262" t="s">
        <v>504</v>
      </c>
      <c r="B262">
        <v>2.3650759799999999</v>
      </c>
      <c r="C262">
        <v>9.6999999999999993</v>
      </c>
      <c r="D262">
        <v>21.269083999999999</v>
      </c>
      <c r="E262">
        <v>0.154</v>
      </c>
      <c r="F262">
        <v>694.09</v>
      </c>
      <c r="G262">
        <f>IF(OR(C262="",B262="",B262=0),"",5.51*(C262/(B262^3)))</f>
        <v>4.0400621028236268</v>
      </c>
      <c r="H262">
        <v>5815</v>
      </c>
      <c r="I262">
        <v>1.3122420068786791</v>
      </c>
      <c r="J262">
        <v>0.193</v>
      </c>
      <c r="L262">
        <f>IF(AND(B262&gt;=0.8,B262&lt;=1.5),1,IF(AND(B262&gt;=0.5,B262&lt;=2),0.5,0))</f>
        <v>0</v>
      </c>
      <c r="M262">
        <f>IF(AND(C262&gt;=0.5,C262&lt;=2),1,IF(AND(C262&gt;=0.1,C262&lt;=5),0.5,0))</f>
        <v>0</v>
      </c>
      <c r="N262">
        <f>IF(AND(G262&gt;=4,G262&lt;=7),1,IF(AND(G262&gt;=3,G262&lt;=8),0.5,0))</f>
        <v>1</v>
      </c>
      <c r="O262">
        <f>IF(AND(F262&gt;=270,F262&lt;=310),1,IF(AND(F262&gt;=250,F262&lt;=330),0.5,0))</f>
        <v>0</v>
      </c>
      <c r="P262">
        <f>IF(AND(E262&gt;=0.8,E262&lt;=1.5),1,IF(AND(E262&gt;=0.5,E262&lt;=2),0.5,0))</f>
        <v>0</v>
      </c>
      <c r="Q262">
        <f>IF(AND(H262&gt;=5000,H262&lt;=6000),1,IF(AND(H262&gt;=4000,H262&lt;5000),0.5,0))</f>
        <v>1</v>
      </c>
      <c r="R262">
        <f>0.35*AVERAGE(L262:M262:N262)+0.3*O262+0.2*P262+0.15*Q262</f>
        <v>0.26666666666666666</v>
      </c>
      <c r="S262" t="str">
        <f>LEFT(K262,1)</f>
        <v/>
      </c>
      <c r="T262">
        <f>IF(S262="G",1,0)</f>
        <v>0</v>
      </c>
      <c r="U262">
        <f>IF(S262="K",1,0)</f>
        <v>0</v>
      </c>
      <c r="V262">
        <f>IF(S262="M",1,0)</f>
        <v>0</v>
      </c>
      <c r="W262">
        <f>IF(S262="F",1,0)</f>
        <v>0</v>
      </c>
    </row>
    <row r="263" spans="1:23" x14ac:dyDescent="0.3">
      <c r="A263" t="s">
        <v>503</v>
      </c>
      <c r="B263">
        <v>1.83</v>
      </c>
      <c r="D263">
        <v>4.2660460000000002</v>
      </c>
      <c r="E263">
        <v>3.5889999999999998E-2</v>
      </c>
      <c r="F263">
        <v>485</v>
      </c>
      <c r="G263" t="str">
        <f>IF(OR(C263="",B263="",B263=0),"",5.51*(C263/(B263^3)))</f>
        <v/>
      </c>
      <c r="H263">
        <v>3277</v>
      </c>
      <c r="I263">
        <v>1.1820314069804955E-2</v>
      </c>
      <c r="J263">
        <v>0.22</v>
      </c>
      <c r="K263" t="s">
        <v>60</v>
      </c>
      <c r="L263">
        <f>IF(AND(B263&gt;=0.8,B263&lt;=1.5),1,IF(AND(B263&gt;=0.5,B263&lt;=2),0.5,0))</f>
        <v>0.5</v>
      </c>
      <c r="M263">
        <f>IF(AND(C263&gt;=0.5,C263&lt;=2),1,IF(AND(C263&gt;=0.1,C263&lt;=5),0.5,0))</f>
        <v>0</v>
      </c>
      <c r="N263">
        <f>IF(AND(G263&gt;=4,G263&lt;=7),1,IF(AND(G263&gt;=3,G263&lt;=8),0.5,0))</f>
        <v>0</v>
      </c>
      <c r="O263">
        <f>IF(AND(F263&gt;=270,F263&lt;=310),1,IF(AND(F263&gt;=250,F263&lt;=330),0.5,0))</f>
        <v>0</v>
      </c>
      <c r="P263">
        <f>IF(AND(E263&gt;=0.8,E263&lt;=1.5),1,IF(AND(E263&gt;=0.5,E263&lt;=2),0.5,0))</f>
        <v>0</v>
      </c>
      <c r="Q263">
        <f>IF(AND(H263&gt;=5000,H263&lt;=6000),1,IF(AND(H263&gt;=4000,H263&lt;5000),0.5,0))</f>
        <v>0</v>
      </c>
      <c r="R263">
        <f>0.35*AVERAGE(L263:M263:N263)+0.3*O263+0.2*P263+0.15*Q263</f>
        <v>5.8333333333333327E-2</v>
      </c>
      <c r="S263" t="str">
        <f>LEFT(K263,1)</f>
        <v>M</v>
      </c>
      <c r="T263">
        <f>IF(S263="G",1,0)</f>
        <v>0</v>
      </c>
      <c r="U263">
        <f>IF(S263="K",1,0)</f>
        <v>0</v>
      </c>
      <c r="V263">
        <f>IF(S263="M",1,0)</f>
        <v>1</v>
      </c>
      <c r="W263">
        <f>IF(S263="F",1,0)</f>
        <v>0</v>
      </c>
    </row>
    <row r="264" spans="1:23" x14ac:dyDescent="0.3">
      <c r="A264" t="s">
        <v>502</v>
      </c>
      <c r="B264">
        <v>2.68</v>
      </c>
      <c r="D264">
        <v>22.341702927</v>
      </c>
      <c r="E264">
        <v>0.16408600000000001</v>
      </c>
      <c r="G264" t="str">
        <f>IF(OR(C264="",B264="",B264=0),"",5.51*(C264/(B264^3)))</f>
        <v/>
      </c>
      <c r="H264">
        <v>6179</v>
      </c>
      <c r="I264">
        <v>1.6997002312456209</v>
      </c>
      <c r="L264">
        <f>IF(AND(B264&gt;=0.8,B264&lt;=1.5),1,IF(AND(B264&gt;=0.5,B264&lt;=2),0.5,0))</f>
        <v>0</v>
      </c>
      <c r="M264">
        <f>IF(AND(C264&gt;=0.5,C264&lt;=2),1,IF(AND(C264&gt;=0.1,C264&lt;=5),0.5,0))</f>
        <v>0</v>
      </c>
      <c r="N264">
        <f>IF(AND(G264&gt;=4,G264&lt;=7),1,IF(AND(G264&gt;=3,G264&lt;=8),0.5,0))</f>
        <v>0</v>
      </c>
      <c r="O264">
        <f>IF(AND(F264&gt;=270,F264&lt;=310),1,IF(AND(F264&gt;=250,F264&lt;=330),0.5,0))</f>
        <v>0</v>
      </c>
      <c r="P264">
        <f>IF(AND(E264&gt;=0.8,E264&lt;=1.5),1,IF(AND(E264&gt;=0.5,E264&lt;=2),0.5,0))</f>
        <v>0</v>
      </c>
      <c r="Q264">
        <f>IF(AND(H264&gt;=5000,H264&lt;=6000),1,IF(AND(H264&gt;=4000,H264&lt;5000),0.5,0))</f>
        <v>0</v>
      </c>
      <c r="R264">
        <f>0.35*AVERAGE(L264:M264:N264)+0.3*O264+0.2*P264+0.15*Q264</f>
        <v>0</v>
      </c>
      <c r="S264" t="str">
        <f>LEFT(K264,1)</f>
        <v/>
      </c>
      <c r="T264">
        <f>IF(S264="G",1,0)</f>
        <v>0</v>
      </c>
      <c r="U264">
        <f>IF(S264="K",1,0)</f>
        <v>0</v>
      </c>
      <c r="V264">
        <f>IF(S264="M",1,0)</f>
        <v>0</v>
      </c>
      <c r="W264">
        <f>IF(S264="F",1,0)</f>
        <v>0</v>
      </c>
    </row>
    <row r="265" spans="1:23" x14ac:dyDescent="0.3">
      <c r="A265" t="s">
        <v>501</v>
      </c>
      <c r="B265">
        <v>1.39</v>
      </c>
      <c r="C265">
        <v>57</v>
      </c>
      <c r="D265">
        <v>2.3883899999999998</v>
      </c>
      <c r="E265">
        <v>2.9100000000000001E-2</v>
      </c>
      <c r="F265">
        <v>831</v>
      </c>
      <c r="G265">
        <f>IF(OR(C265="",B265="",B265=0),"",5.51*(C265/(B265^3)))</f>
        <v>116.94510650989588</v>
      </c>
      <c r="H265">
        <v>3985</v>
      </c>
      <c r="I265">
        <v>6.8442920345051478E-2</v>
      </c>
      <c r="J265">
        <v>-0.26</v>
      </c>
      <c r="K265" t="s">
        <v>96</v>
      </c>
      <c r="L265">
        <f>IF(AND(B265&gt;=0.8,B265&lt;=1.5),1,IF(AND(B265&gt;=0.5,B265&lt;=2),0.5,0))</f>
        <v>1</v>
      </c>
      <c r="M265">
        <f>IF(AND(C265&gt;=0.5,C265&lt;=2),1,IF(AND(C265&gt;=0.1,C265&lt;=5),0.5,0))</f>
        <v>0</v>
      </c>
      <c r="N265">
        <f>IF(AND(G265&gt;=4,G265&lt;=7),1,IF(AND(G265&gt;=3,G265&lt;=8),0.5,0))</f>
        <v>0</v>
      </c>
      <c r="O265">
        <f>IF(AND(F265&gt;=270,F265&lt;=310),1,IF(AND(F265&gt;=250,F265&lt;=330),0.5,0))</f>
        <v>0</v>
      </c>
      <c r="P265">
        <f>IF(AND(E265&gt;=0.8,E265&lt;=1.5),1,IF(AND(E265&gt;=0.5,E265&lt;=2),0.5,0))</f>
        <v>0</v>
      </c>
      <c r="Q265">
        <f>IF(AND(H265&gt;=5000,H265&lt;=6000),1,IF(AND(H265&gt;=4000,H265&lt;5000),0.5,0))</f>
        <v>0</v>
      </c>
      <c r="R265">
        <f>0.35*AVERAGE(L265:M265:N265)+0.3*O265+0.2*P265+0.15*Q265</f>
        <v>0.11666666666666665</v>
      </c>
      <c r="S265" t="str">
        <f>LEFT(K265,1)</f>
        <v>M</v>
      </c>
      <c r="T265">
        <f>IF(S265="G",1,0)</f>
        <v>0</v>
      </c>
      <c r="U265">
        <f>IF(S265="K",1,0)</f>
        <v>0</v>
      </c>
      <c r="V265">
        <f>IF(S265="M",1,0)</f>
        <v>1</v>
      </c>
      <c r="W265">
        <f>IF(S265="F",1,0)</f>
        <v>0</v>
      </c>
    </row>
    <row r="266" spans="1:23" x14ac:dyDescent="0.3">
      <c r="A266" t="s">
        <v>500</v>
      </c>
      <c r="B266">
        <v>2.12</v>
      </c>
      <c r="C266">
        <v>14</v>
      </c>
      <c r="D266">
        <v>4.4928999999999997</v>
      </c>
      <c r="E266">
        <v>4.4299999999999999E-2</v>
      </c>
      <c r="F266">
        <v>673</v>
      </c>
      <c r="G266">
        <f>IF(OR(C266="",B266="",B266=0),"",5.51*(C266/(B266^3)))</f>
        <v>8.0960289366389677</v>
      </c>
      <c r="H266">
        <v>3985</v>
      </c>
      <c r="I266">
        <v>6.8442920345051478E-2</v>
      </c>
      <c r="J266">
        <v>-0.26</v>
      </c>
      <c r="K266" t="s">
        <v>96</v>
      </c>
      <c r="L266">
        <f>IF(AND(B266&gt;=0.8,B266&lt;=1.5),1,IF(AND(B266&gt;=0.5,B266&lt;=2),0.5,0))</f>
        <v>0</v>
      </c>
      <c r="M266">
        <f>IF(AND(C266&gt;=0.5,C266&lt;=2),1,IF(AND(C266&gt;=0.1,C266&lt;=5),0.5,0))</f>
        <v>0</v>
      </c>
      <c r="N266">
        <f>IF(AND(G266&gt;=4,G266&lt;=7),1,IF(AND(G266&gt;=3,G266&lt;=8),0.5,0))</f>
        <v>0</v>
      </c>
      <c r="O266">
        <f>IF(AND(F266&gt;=270,F266&lt;=310),1,IF(AND(F266&gt;=250,F266&lt;=330),0.5,0))</f>
        <v>0</v>
      </c>
      <c r="P266">
        <f>IF(AND(E266&gt;=0.8,E266&lt;=1.5),1,IF(AND(E266&gt;=0.5,E266&lt;=2),0.5,0))</f>
        <v>0</v>
      </c>
      <c r="Q266">
        <f>IF(AND(H266&gt;=5000,H266&lt;=6000),1,IF(AND(H266&gt;=4000,H266&lt;5000),0.5,0))</f>
        <v>0</v>
      </c>
      <c r="R266">
        <f>0.35*AVERAGE(L266:M266:N266)+0.3*O266+0.2*P266+0.15*Q266</f>
        <v>0</v>
      </c>
      <c r="S266" t="str">
        <f>LEFT(K266,1)</f>
        <v>M</v>
      </c>
      <c r="T266">
        <f>IF(S266="G",1,0)</f>
        <v>0</v>
      </c>
      <c r="U266">
        <f>IF(S266="K",1,0)</f>
        <v>0</v>
      </c>
      <c r="V266">
        <f>IF(S266="M",1,0)</f>
        <v>1</v>
      </c>
      <c r="W266">
        <f>IF(S266="F",1,0)</f>
        <v>0</v>
      </c>
    </row>
    <row r="267" spans="1:23" x14ac:dyDescent="0.3">
      <c r="A267" t="s">
        <v>499</v>
      </c>
      <c r="B267">
        <v>2.52</v>
      </c>
      <c r="C267">
        <v>15</v>
      </c>
      <c r="D267">
        <v>9.0496999999999996</v>
      </c>
      <c r="E267">
        <v>7.0699999999999999E-2</v>
      </c>
      <c r="F267">
        <v>533</v>
      </c>
      <c r="G267">
        <f>IF(OR(C267="",B267="",B267=0),"",5.51*(C267/(B267^3)))</f>
        <v>5.1646540450395317</v>
      </c>
      <c r="H267">
        <v>3985</v>
      </c>
      <c r="I267">
        <v>6.8442920345051478E-2</v>
      </c>
      <c r="J267">
        <v>-0.26</v>
      </c>
      <c r="K267" t="s">
        <v>96</v>
      </c>
      <c r="L267">
        <f>IF(AND(B267&gt;=0.8,B267&lt;=1.5),1,IF(AND(B267&gt;=0.5,B267&lt;=2),0.5,0))</f>
        <v>0</v>
      </c>
      <c r="M267">
        <f>IF(AND(C267&gt;=0.5,C267&lt;=2),1,IF(AND(C267&gt;=0.1,C267&lt;=5),0.5,0))</f>
        <v>0</v>
      </c>
      <c r="N267">
        <f>IF(AND(G267&gt;=4,G267&lt;=7),1,IF(AND(G267&gt;=3,G267&lt;=8),0.5,0))</f>
        <v>1</v>
      </c>
      <c r="O267">
        <f>IF(AND(F267&gt;=270,F267&lt;=310),1,IF(AND(F267&gt;=250,F267&lt;=330),0.5,0))</f>
        <v>0</v>
      </c>
      <c r="P267">
        <f>IF(AND(E267&gt;=0.8,E267&lt;=1.5),1,IF(AND(E267&gt;=0.5,E267&lt;=2),0.5,0))</f>
        <v>0</v>
      </c>
      <c r="Q267">
        <f>IF(AND(H267&gt;=5000,H267&lt;=6000),1,IF(AND(H267&gt;=4000,H267&lt;5000),0.5,0))</f>
        <v>0</v>
      </c>
      <c r="R267">
        <f>0.35*AVERAGE(L267:M267:N267)+0.3*O267+0.2*P267+0.15*Q267</f>
        <v>0.11666666666666665</v>
      </c>
      <c r="S267" t="str">
        <f>LEFT(K267,1)</f>
        <v>M</v>
      </c>
      <c r="T267">
        <f>IF(S267="G",1,0)</f>
        <v>0</v>
      </c>
      <c r="U267">
        <f>IF(S267="K",1,0)</f>
        <v>0</v>
      </c>
      <c r="V267">
        <f>IF(S267="M",1,0)</f>
        <v>1</v>
      </c>
      <c r="W267">
        <f>IF(S267="F",1,0)</f>
        <v>0</v>
      </c>
    </row>
    <row r="268" spans="1:23" x14ac:dyDescent="0.3">
      <c r="A268" t="s">
        <v>498</v>
      </c>
      <c r="B268">
        <v>2.9507845000000001</v>
      </c>
      <c r="C268">
        <v>19.5</v>
      </c>
      <c r="D268">
        <v>37.468519999999998</v>
      </c>
      <c r="E268">
        <v>0.215</v>
      </c>
      <c r="F268">
        <v>651.64</v>
      </c>
      <c r="G268">
        <f>IF(OR(C268="",B268="",B268=0),"",5.51*(C268/(B268^3)))</f>
        <v>4.1819008297457163</v>
      </c>
      <c r="H268">
        <v>5970</v>
      </c>
      <c r="I268">
        <v>1.9668877445887758</v>
      </c>
      <c r="J268">
        <v>-0.373</v>
      </c>
      <c r="L268">
        <f>IF(AND(B268&gt;=0.8,B268&lt;=1.5),1,IF(AND(B268&gt;=0.5,B268&lt;=2),0.5,0))</f>
        <v>0</v>
      </c>
      <c r="M268">
        <f>IF(AND(C268&gt;=0.5,C268&lt;=2),1,IF(AND(C268&gt;=0.1,C268&lt;=5),0.5,0))</f>
        <v>0</v>
      </c>
      <c r="N268">
        <f>IF(AND(G268&gt;=4,G268&lt;=7),1,IF(AND(G268&gt;=3,G268&lt;=8),0.5,0))</f>
        <v>1</v>
      </c>
      <c r="O268">
        <f>IF(AND(F268&gt;=270,F268&lt;=310),1,IF(AND(F268&gt;=250,F268&lt;=330),0.5,0))</f>
        <v>0</v>
      </c>
      <c r="P268">
        <f>IF(AND(E268&gt;=0.8,E268&lt;=1.5),1,IF(AND(E268&gt;=0.5,E268&lt;=2),0.5,0))</f>
        <v>0</v>
      </c>
      <c r="Q268">
        <f>IF(AND(H268&gt;=5000,H268&lt;=6000),1,IF(AND(H268&gt;=4000,H268&lt;5000),0.5,0))</f>
        <v>1</v>
      </c>
      <c r="R268">
        <f>0.35*AVERAGE(L268:M268:N268)+0.3*O268+0.2*P268+0.15*Q268</f>
        <v>0.26666666666666666</v>
      </c>
      <c r="S268" t="str">
        <f>LEFT(K268,1)</f>
        <v/>
      </c>
      <c r="T268">
        <f>IF(S268="G",1,0)</f>
        <v>0</v>
      </c>
      <c r="U268">
        <f>IF(S268="K",1,0)</f>
        <v>0</v>
      </c>
      <c r="V268">
        <f>IF(S268="M",1,0)</f>
        <v>0</v>
      </c>
      <c r="W268">
        <f>IF(S268="F",1,0)</f>
        <v>0</v>
      </c>
    </row>
    <row r="269" spans="1:23" x14ac:dyDescent="0.3">
      <c r="A269" t="s">
        <v>497</v>
      </c>
      <c r="B269">
        <v>2.4785253300000001</v>
      </c>
      <c r="C269">
        <v>16.600000000000001</v>
      </c>
      <c r="D269">
        <v>5.3846103999999997</v>
      </c>
      <c r="E269">
        <v>5.8999999999999997E-2</v>
      </c>
      <c r="F269">
        <v>1005.43</v>
      </c>
      <c r="G269">
        <f>IF(OR(C269="",B269="",B269=0),"",5.51*(C269/(B269^3)))</f>
        <v>6.0073038880441887</v>
      </c>
      <c r="H269">
        <v>5621</v>
      </c>
      <c r="I269">
        <v>0.84533684964617528</v>
      </c>
      <c r="J269">
        <v>2.5999999999999999E-2</v>
      </c>
      <c r="L269">
        <f>IF(AND(B269&gt;=0.8,B269&lt;=1.5),1,IF(AND(B269&gt;=0.5,B269&lt;=2),0.5,0))</f>
        <v>0</v>
      </c>
      <c r="M269">
        <f>IF(AND(C269&gt;=0.5,C269&lt;=2),1,IF(AND(C269&gt;=0.1,C269&lt;=5),0.5,0))</f>
        <v>0</v>
      </c>
      <c r="N269">
        <f>IF(AND(G269&gt;=4,G269&lt;=7),1,IF(AND(G269&gt;=3,G269&lt;=8),0.5,0))</f>
        <v>1</v>
      </c>
      <c r="O269">
        <f>IF(AND(F269&gt;=270,F269&lt;=310),1,IF(AND(F269&gt;=250,F269&lt;=330),0.5,0))</f>
        <v>0</v>
      </c>
      <c r="P269">
        <f>IF(AND(E269&gt;=0.8,E269&lt;=1.5),1,IF(AND(E269&gt;=0.5,E269&lt;=2),0.5,0))</f>
        <v>0</v>
      </c>
      <c r="Q269">
        <f>IF(AND(H269&gt;=5000,H269&lt;=6000),1,IF(AND(H269&gt;=4000,H269&lt;5000),0.5,0))</f>
        <v>1</v>
      </c>
      <c r="R269">
        <f>0.35*AVERAGE(L269:M269:N269)+0.3*O269+0.2*P269+0.15*Q269</f>
        <v>0.26666666666666666</v>
      </c>
      <c r="S269" t="str">
        <f>LEFT(K269,1)</f>
        <v/>
      </c>
      <c r="T269">
        <f>IF(S269="G",1,0)</f>
        <v>0</v>
      </c>
      <c r="U269">
        <f>IF(S269="K",1,0)</f>
        <v>0</v>
      </c>
      <c r="V269">
        <f>IF(S269="M",1,0)</f>
        <v>0</v>
      </c>
      <c r="W269">
        <f>IF(S269="F",1,0)</f>
        <v>0</v>
      </c>
    </row>
    <row r="270" spans="1:23" x14ac:dyDescent="0.3">
      <c r="A270" t="s">
        <v>496</v>
      </c>
      <c r="B270">
        <v>3.62</v>
      </c>
      <c r="D270">
        <v>20.705074685</v>
      </c>
      <c r="E270">
        <v>0.14140900000000001</v>
      </c>
      <c r="G270" t="str">
        <f>IF(OR(C270="",B270="",B270=0),"",5.51*(C270/(B270^3)))</f>
        <v/>
      </c>
      <c r="H270">
        <v>5169</v>
      </c>
      <c r="I270">
        <v>0.42022899674150105</v>
      </c>
      <c r="L270">
        <f>IF(AND(B270&gt;=0.8,B270&lt;=1.5),1,IF(AND(B270&gt;=0.5,B270&lt;=2),0.5,0))</f>
        <v>0</v>
      </c>
      <c r="M270">
        <f>IF(AND(C270&gt;=0.5,C270&lt;=2),1,IF(AND(C270&gt;=0.1,C270&lt;=5),0.5,0))</f>
        <v>0</v>
      </c>
      <c r="N270">
        <f>IF(AND(G270&gt;=4,G270&lt;=7),1,IF(AND(G270&gt;=3,G270&lt;=8),0.5,0))</f>
        <v>0</v>
      </c>
      <c r="O270">
        <f>IF(AND(F270&gt;=270,F270&lt;=310),1,IF(AND(F270&gt;=250,F270&lt;=330),0.5,0))</f>
        <v>0</v>
      </c>
      <c r="P270">
        <f>IF(AND(E270&gt;=0.8,E270&lt;=1.5),1,IF(AND(E270&gt;=0.5,E270&lt;=2),0.5,0))</f>
        <v>0</v>
      </c>
      <c r="Q270">
        <f>IF(AND(H270&gt;=5000,H270&lt;=6000),1,IF(AND(H270&gt;=4000,H270&lt;5000),0.5,0))</f>
        <v>1</v>
      </c>
      <c r="R270">
        <f>0.35*AVERAGE(L270:M270:N270)+0.3*O270+0.2*P270+0.15*Q270</f>
        <v>0.15</v>
      </c>
      <c r="S270" t="str">
        <f>LEFT(K270,1)</f>
        <v/>
      </c>
      <c r="T270">
        <f>IF(S270="G",1,0)</f>
        <v>0</v>
      </c>
      <c r="U270">
        <f>IF(S270="K",1,0)</f>
        <v>0</v>
      </c>
      <c r="V270">
        <f>IF(S270="M",1,0)</f>
        <v>0</v>
      </c>
      <c r="W270">
        <f>IF(S270="F",1,0)</f>
        <v>0</v>
      </c>
    </row>
    <row r="271" spans="1:23" x14ac:dyDescent="0.3">
      <c r="A271" t="s">
        <v>495</v>
      </c>
      <c r="B271">
        <v>3.14</v>
      </c>
      <c r="C271">
        <v>10.8</v>
      </c>
      <c r="D271">
        <v>18.850190000000001</v>
      </c>
      <c r="E271">
        <v>0.1177</v>
      </c>
      <c r="F271">
        <v>443</v>
      </c>
      <c r="G271">
        <f>IF(OR(C271="",B271="",B271=0),"",5.51*(C271/(B271^3)))</f>
        <v>1.9221461678656233</v>
      </c>
      <c r="H271">
        <v>4065</v>
      </c>
      <c r="I271">
        <v>8.7313362181038384E-2</v>
      </c>
      <c r="J271">
        <v>0.05</v>
      </c>
      <c r="K271" t="s">
        <v>494</v>
      </c>
      <c r="L271">
        <f>IF(AND(B271&gt;=0.8,B271&lt;=1.5),1,IF(AND(B271&gt;=0.5,B271&lt;=2),0.5,0))</f>
        <v>0</v>
      </c>
      <c r="M271">
        <f>IF(AND(C271&gt;=0.5,C271&lt;=2),1,IF(AND(C271&gt;=0.1,C271&lt;=5),0.5,0))</f>
        <v>0</v>
      </c>
      <c r="N271">
        <f>IF(AND(G271&gt;=4,G271&lt;=7),1,IF(AND(G271&gt;=3,G271&lt;=8),0.5,0))</f>
        <v>0</v>
      </c>
      <c r="O271">
        <f>IF(AND(F271&gt;=270,F271&lt;=310),1,IF(AND(F271&gt;=250,F271&lt;=330),0.5,0))</f>
        <v>0</v>
      </c>
      <c r="P271">
        <f>IF(AND(E271&gt;=0.8,E271&lt;=1.5),1,IF(AND(E271&gt;=0.5,E271&lt;=2),0.5,0))</f>
        <v>0</v>
      </c>
      <c r="Q271">
        <f>IF(AND(H271&gt;=5000,H271&lt;=6000),1,IF(AND(H271&gt;=4000,H271&lt;5000),0.5,0))</f>
        <v>0.5</v>
      </c>
      <c r="R271">
        <f>0.35*AVERAGE(L271:M271:N271)+0.3*O271+0.2*P271+0.15*Q271</f>
        <v>7.4999999999999997E-2</v>
      </c>
      <c r="S271" t="str">
        <f>LEFT(K271,1)</f>
        <v>M</v>
      </c>
      <c r="T271">
        <f>IF(S271="G",1,0)</f>
        <v>0</v>
      </c>
      <c r="U271">
        <f>IF(S271="K",1,0)</f>
        <v>0</v>
      </c>
      <c r="V271">
        <f>IF(S271="M",1,0)</f>
        <v>1</v>
      </c>
      <c r="W271">
        <f>IF(S271="F",1,0)</f>
        <v>0</v>
      </c>
    </row>
    <row r="272" spans="1:23" x14ac:dyDescent="0.3">
      <c r="A272" t="s">
        <v>493</v>
      </c>
      <c r="B272">
        <v>3.4529999999999998</v>
      </c>
      <c r="D272">
        <v>7.3377036489999998</v>
      </c>
      <c r="E272">
        <v>7.6381000000000004E-2</v>
      </c>
      <c r="G272" t="str">
        <f>IF(OR(C272="",B272="",B272=0),"",5.51*(C272/(B272^3)))</f>
        <v/>
      </c>
      <c r="H272">
        <v>5994</v>
      </c>
      <c r="I272">
        <v>1.4013356632814291</v>
      </c>
      <c r="L272">
        <f>IF(AND(B272&gt;=0.8,B272&lt;=1.5),1,IF(AND(B272&gt;=0.5,B272&lt;=2),0.5,0))</f>
        <v>0</v>
      </c>
      <c r="M272">
        <f>IF(AND(C272&gt;=0.5,C272&lt;=2),1,IF(AND(C272&gt;=0.1,C272&lt;=5),0.5,0))</f>
        <v>0</v>
      </c>
      <c r="N272">
        <f>IF(AND(G272&gt;=4,G272&lt;=7),1,IF(AND(G272&gt;=3,G272&lt;=8),0.5,0))</f>
        <v>0</v>
      </c>
      <c r="O272">
        <f>IF(AND(F272&gt;=270,F272&lt;=310),1,IF(AND(F272&gt;=250,F272&lt;=330),0.5,0))</f>
        <v>0</v>
      </c>
      <c r="P272">
        <f>IF(AND(E272&gt;=0.8,E272&lt;=1.5),1,IF(AND(E272&gt;=0.5,E272&lt;=2),0.5,0))</f>
        <v>0</v>
      </c>
      <c r="Q272">
        <f>IF(AND(H272&gt;=5000,H272&lt;=6000),1,IF(AND(H272&gt;=4000,H272&lt;5000),0.5,0))</f>
        <v>1</v>
      </c>
      <c r="R272">
        <f>0.35*AVERAGE(L272:M272:N272)+0.3*O272+0.2*P272+0.15*Q272</f>
        <v>0.15</v>
      </c>
      <c r="S272" t="str">
        <f>LEFT(K272,1)</f>
        <v/>
      </c>
      <c r="T272">
        <f>IF(S272="G",1,0)</f>
        <v>0</v>
      </c>
      <c r="U272">
        <f>IF(S272="K",1,0)</f>
        <v>0</v>
      </c>
      <c r="V272">
        <f>IF(S272="M",1,0)</f>
        <v>0</v>
      </c>
      <c r="W272">
        <f>IF(S272="F",1,0)</f>
        <v>0</v>
      </c>
    </row>
    <row r="273" spans="1:23" x14ac:dyDescent="0.3">
      <c r="A273" t="s">
        <v>492</v>
      </c>
      <c r="B273">
        <v>2.9049999999999998</v>
      </c>
      <c r="D273">
        <v>8.0542468740000004</v>
      </c>
      <c r="E273">
        <v>7.8375E-2</v>
      </c>
      <c r="G273" t="str">
        <f>IF(OR(C273="",B273="",B273=0),"",5.51*(C273/(B273^3)))</f>
        <v/>
      </c>
      <c r="H273">
        <v>5583</v>
      </c>
      <c r="I273">
        <v>0.86299150931990587</v>
      </c>
      <c r="L273">
        <f>IF(AND(B273&gt;=0.8,B273&lt;=1.5),1,IF(AND(B273&gt;=0.5,B273&lt;=2),0.5,0))</f>
        <v>0</v>
      </c>
      <c r="M273">
        <f>IF(AND(C273&gt;=0.5,C273&lt;=2),1,IF(AND(C273&gt;=0.1,C273&lt;=5),0.5,0))</f>
        <v>0</v>
      </c>
      <c r="N273">
        <f>IF(AND(G273&gt;=4,G273&lt;=7),1,IF(AND(G273&gt;=3,G273&lt;=8),0.5,0))</f>
        <v>0</v>
      </c>
      <c r="O273">
        <f>IF(AND(F273&gt;=270,F273&lt;=310),1,IF(AND(F273&gt;=250,F273&lt;=330),0.5,0))</f>
        <v>0</v>
      </c>
      <c r="P273">
        <f>IF(AND(E273&gt;=0.8,E273&lt;=1.5),1,IF(AND(E273&gt;=0.5,E273&lt;=2),0.5,0))</f>
        <v>0</v>
      </c>
      <c r="Q273">
        <f>IF(AND(H273&gt;=5000,H273&lt;=6000),1,IF(AND(H273&gt;=4000,H273&lt;5000),0.5,0))</f>
        <v>1</v>
      </c>
      <c r="R273">
        <f>0.35*AVERAGE(L273:M273:N273)+0.3*O273+0.2*P273+0.15*Q273</f>
        <v>0.15</v>
      </c>
      <c r="S273" t="str">
        <f>LEFT(K273,1)</f>
        <v/>
      </c>
      <c r="T273">
        <f>IF(S273="G",1,0)</f>
        <v>0</v>
      </c>
      <c r="U273">
        <f>IF(S273="K",1,0)</f>
        <v>0</v>
      </c>
      <c r="V273">
        <f>IF(S273="M",1,0)</f>
        <v>0</v>
      </c>
      <c r="W273">
        <f>IF(S273="F",1,0)</f>
        <v>0</v>
      </c>
    </row>
    <row r="274" spans="1:23" x14ac:dyDescent="0.3">
      <c r="A274" t="s">
        <v>491</v>
      </c>
      <c r="B274">
        <v>8.0472889599999995</v>
      </c>
      <c r="C274">
        <v>96</v>
      </c>
      <c r="D274">
        <v>10.240554899999999</v>
      </c>
      <c r="E274">
        <v>0.08</v>
      </c>
      <c r="F274">
        <v>707.89</v>
      </c>
      <c r="G274">
        <f>IF(OR(C274="",B274="",B274=0),"",5.51*(C274/(B274^3)))</f>
        <v>1.0150187000022211</v>
      </c>
      <c r="H274">
        <v>5284</v>
      </c>
      <c r="I274">
        <v>0.48044156230028784</v>
      </c>
      <c r="J274">
        <v>0.16200000000000001</v>
      </c>
      <c r="L274">
        <f>IF(AND(B274&gt;=0.8,B274&lt;=1.5),1,IF(AND(B274&gt;=0.5,B274&lt;=2),0.5,0))</f>
        <v>0</v>
      </c>
      <c r="M274">
        <f>IF(AND(C274&gt;=0.5,C274&lt;=2),1,IF(AND(C274&gt;=0.1,C274&lt;=5),0.5,0))</f>
        <v>0</v>
      </c>
      <c r="N274">
        <f>IF(AND(G274&gt;=4,G274&lt;=7),1,IF(AND(G274&gt;=3,G274&lt;=8),0.5,0))</f>
        <v>0</v>
      </c>
      <c r="O274">
        <f>IF(AND(F274&gt;=270,F274&lt;=310),1,IF(AND(F274&gt;=250,F274&lt;=330),0.5,0))</f>
        <v>0</v>
      </c>
      <c r="P274">
        <f>IF(AND(E274&gt;=0.8,E274&lt;=1.5),1,IF(AND(E274&gt;=0.5,E274&lt;=2),0.5,0))</f>
        <v>0</v>
      </c>
      <c r="Q274">
        <f>IF(AND(H274&gt;=5000,H274&lt;=6000),1,IF(AND(H274&gt;=4000,H274&lt;5000),0.5,0))</f>
        <v>1</v>
      </c>
      <c r="R274">
        <f>0.35*AVERAGE(L274:M274:N274)+0.3*O274+0.2*P274+0.15*Q274</f>
        <v>0.15</v>
      </c>
      <c r="S274" t="str">
        <f>LEFT(K274,1)</f>
        <v/>
      </c>
      <c r="T274">
        <f>IF(S274="G",1,0)</f>
        <v>0</v>
      </c>
      <c r="U274">
        <f>IF(S274="K",1,0)</f>
        <v>0</v>
      </c>
      <c r="V274">
        <f>IF(S274="M",1,0)</f>
        <v>0</v>
      </c>
      <c r="W274">
        <f>IF(S274="F",1,0)</f>
        <v>0</v>
      </c>
    </row>
    <row r="275" spans="1:23" x14ac:dyDescent="0.3">
      <c r="A275" t="s">
        <v>490</v>
      </c>
      <c r="B275">
        <v>1.2161274099999999</v>
      </c>
      <c r="C275">
        <v>1.4</v>
      </c>
      <c r="D275">
        <v>2.799868</v>
      </c>
      <c r="E275">
        <v>3.78E-2</v>
      </c>
      <c r="F275">
        <v>1269.21</v>
      </c>
      <c r="G275">
        <f>IF(OR(C275="",B275="",B275=0),"",5.51*(C275/(B275^3)))</f>
        <v>4.2888652683463384</v>
      </c>
      <c r="H275">
        <v>5785</v>
      </c>
      <c r="I275">
        <v>0.87959697960276806</v>
      </c>
      <c r="J275">
        <v>-0.193</v>
      </c>
      <c r="L275">
        <f>IF(AND(B275&gt;=0.8,B275&lt;=1.5),1,IF(AND(B275&gt;=0.5,B275&lt;=2),0.5,0))</f>
        <v>1</v>
      </c>
      <c r="M275">
        <f>IF(AND(C275&gt;=0.5,C275&lt;=2),1,IF(AND(C275&gt;=0.1,C275&lt;=5),0.5,0))</f>
        <v>1</v>
      </c>
      <c r="N275">
        <f>IF(AND(G275&gt;=4,G275&lt;=7),1,IF(AND(G275&gt;=3,G275&lt;=8),0.5,0))</f>
        <v>1</v>
      </c>
      <c r="O275">
        <f>IF(AND(F275&gt;=270,F275&lt;=310),1,IF(AND(F275&gt;=250,F275&lt;=330),0.5,0))</f>
        <v>0</v>
      </c>
      <c r="P275">
        <f>IF(AND(E275&gt;=0.8,E275&lt;=1.5),1,IF(AND(E275&gt;=0.5,E275&lt;=2),0.5,0))</f>
        <v>0</v>
      </c>
      <c r="Q275">
        <f>IF(AND(H275&gt;=5000,H275&lt;=6000),1,IF(AND(H275&gt;=4000,H275&lt;5000),0.5,0))</f>
        <v>1</v>
      </c>
      <c r="R275">
        <f>0.35*AVERAGE(L275:M275:N275)+0.3*O275+0.2*P275+0.15*Q275</f>
        <v>0.5</v>
      </c>
      <c r="S275" t="str">
        <f>LEFT(K275,1)</f>
        <v/>
      </c>
      <c r="T275">
        <f>IF(S275="G",1,0)</f>
        <v>0</v>
      </c>
      <c r="U275">
        <f>IF(S275="K",1,0)</f>
        <v>0</v>
      </c>
      <c r="V275">
        <f>IF(S275="M",1,0)</f>
        <v>0</v>
      </c>
      <c r="W275">
        <f>IF(S275="F",1,0)</f>
        <v>0</v>
      </c>
    </row>
    <row r="276" spans="1:23" x14ac:dyDescent="0.3">
      <c r="A276" t="s">
        <v>489</v>
      </c>
      <c r="B276">
        <v>2.246</v>
      </c>
      <c r="D276">
        <v>14.650111974</v>
      </c>
      <c r="E276">
        <v>0.119466</v>
      </c>
      <c r="G276" t="str">
        <f>IF(OR(C276="",B276="",B276=0),"",5.51*(C276/(B276^3)))</f>
        <v/>
      </c>
      <c r="H276">
        <v>5859</v>
      </c>
      <c r="I276">
        <v>1.0153972745768807</v>
      </c>
      <c r="L276">
        <f>IF(AND(B276&gt;=0.8,B276&lt;=1.5),1,IF(AND(B276&gt;=0.5,B276&lt;=2),0.5,0))</f>
        <v>0</v>
      </c>
      <c r="M276">
        <f>IF(AND(C276&gt;=0.5,C276&lt;=2),1,IF(AND(C276&gt;=0.1,C276&lt;=5),0.5,0))</f>
        <v>0</v>
      </c>
      <c r="N276">
        <f>IF(AND(G276&gt;=4,G276&lt;=7),1,IF(AND(G276&gt;=3,G276&lt;=8),0.5,0))</f>
        <v>0</v>
      </c>
      <c r="O276">
        <f>IF(AND(F276&gt;=270,F276&lt;=310),1,IF(AND(F276&gt;=250,F276&lt;=330),0.5,0))</f>
        <v>0</v>
      </c>
      <c r="P276">
        <f>IF(AND(E276&gt;=0.8,E276&lt;=1.5),1,IF(AND(E276&gt;=0.5,E276&lt;=2),0.5,0))</f>
        <v>0</v>
      </c>
      <c r="Q276">
        <f>IF(AND(H276&gt;=5000,H276&lt;=6000),1,IF(AND(H276&gt;=4000,H276&lt;5000),0.5,0))</f>
        <v>1</v>
      </c>
      <c r="R276">
        <f>0.35*AVERAGE(L276:M276:N276)+0.3*O276+0.2*P276+0.15*Q276</f>
        <v>0.15</v>
      </c>
      <c r="S276" t="str">
        <f>LEFT(K276,1)</f>
        <v/>
      </c>
      <c r="T276">
        <f>IF(S276="G",1,0)</f>
        <v>0</v>
      </c>
      <c r="U276">
        <f>IF(S276="K",1,0)</f>
        <v>0</v>
      </c>
      <c r="V276">
        <f>IF(S276="M",1,0)</f>
        <v>0</v>
      </c>
      <c r="W276">
        <f>IF(S276="F",1,0)</f>
        <v>0</v>
      </c>
    </row>
    <row r="277" spans="1:23" x14ac:dyDescent="0.3">
      <c r="A277" t="s">
        <v>488</v>
      </c>
      <c r="B277">
        <v>1.2</v>
      </c>
      <c r="C277">
        <v>0.96</v>
      </c>
      <c r="D277">
        <v>1.9145601000000001</v>
      </c>
      <c r="G277">
        <f>IF(OR(C277="",B277="",B277=0),"",5.51*(C277/(B277^3)))</f>
        <v>3.0611111111111113</v>
      </c>
      <c r="H277">
        <v>4316</v>
      </c>
      <c r="I277">
        <v>0.13643681508398139</v>
      </c>
      <c r="J277">
        <v>-0.23</v>
      </c>
      <c r="L277">
        <f>IF(AND(B277&gt;=0.8,B277&lt;=1.5),1,IF(AND(B277&gt;=0.5,B277&lt;=2),0.5,0))</f>
        <v>1</v>
      </c>
      <c r="M277">
        <f>IF(AND(C277&gt;=0.5,C277&lt;=2),1,IF(AND(C277&gt;=0.1,C277&lt;=5),0.5,0))</f>
        <v>1</v>
      </c>
      <c r="N277">
        <f>IF(AND(G277&gt;=4,G277&lt;=7),1,IF(AND(G277&gt;=3,G277&lt;=8),0.5,0))</f>
        <v>0.5</v>
      </c>
      <c r="O277">
        <f>IF(AND(F277&gt;=270,F277&lt;=310),1,IF(AND(F277&gt;=250,F277&lt;=330),0.5,0))</f>
        <v>0</v>
      </c>
      <c r="P277">
        <f>IF(AND(E277&gt;=0.8,E277&lt;=1.5),1,IF(AND(E277&gt;=0.5,E277&lt;=2),0.5,0))</f>
        <v>0</v>
      </c>
      <c r="Q277">
        <f>IF(AND(H277&gt;=5000,H277&lt;=6000),1,IF(AND(H277&gt;=4000,H277&lt;5000),0.5,0))</f>
        <v>0.5</v>
      </c>
      <c r="R277">
        <f>0.35*AVERAGE(L277:M277:N277)+0.3*O277+0.2*P277+0.15*Q277</f>
        <v>0.3666666666666667</v>
      </c>
      <c r="S277" t="str">
        <f>LEFT(K277,1)</f>
        <v/>
      </c>
      <c r="T277">
        <f>IF(S277="G",1,0)</f>
        <v>0</v>
      </c>
      <c r="U277">
        <f>IF(S277="K",1,0)</f>
        <v>0</v>
      </c>
      <c r="V277">
        <f>IF(S277="M",1,0)</f>
        <v>0</v>
      </c>
      <c r="W277">
        <f>IF(S277="F",1,0)</f>
        <v>0</v>
      </c>
    </row>
    <row r="278" spans="1:23" x14ac:dyDescent="0.3">
      <c r="A278" t="s">
        <v>487</v>
      </c>
      <c r="B278">
        <v>1.754</v>
      </c>
      <c r="C278">
        <v>4.6399999999999997</v>
      </c>
      <c r="D278">
        <v>3.238486</v>
      </c>
      <c r="G278">
        <f>IF(OR(C278="",B278="",B278=0),"",5.51*(C278/(B278^3)))</f>
        <v>4.7378446047545495</v>
      </c>
      <c r="H278">
        <v>4316</v>
      </c>
      <c r="I278">
        <v>0.13643681508398139</v>
      </c>
      <c r="J278">
        <v>-0.23</v>
      </c>
      <c r="L278">
        <f>IF(AND(B278&gt;=0.8,B278&lt;=1.5),1,IF(AND(B278&gt;=0.5,B278&lt;=2),0.5,0))</f>
        <v>0.5</v>
      </c>
      <c r="M278">
        <f>IF(AND(C278&gt;=0.5,C278&lt;=2),1,IF(AND(C278&gt;=0.1,C278&lt;=5),0.5,0))</f>
        <v>0.5</v>
      </c>
      <c r="N278">
        <f>IF(AND(G278&gt;=4,G278&lt;=7),1,IF(AND(G278&gt;=3,G278&lt;=8),0.5,0))</f>
        <v>1</v>
      </c>
      <c r="O278">
        <f>IF(AND(F278&gt;=270,F278&lt;=310),1,IF(AND(F278&gt;=250,F278&lt;=330),0.5,0))</f>
        <v>0</v>
      </c>
      <c r="P278">
        <f>IF(AND(E278&gt;=0.8,E278&lt;=1.5),1,IF(AND(E278&gt;=0.5,E278&lt;=2),0.5,0))</f>
        <v>0</v>
      </c>
      <c r="Q278">
        <f>IF(AND(H278&gt;=5000,H278&lt;=6000),1,IF(AND(H278&gt;=4000,H278&lt;5000),0.5,0))</f>
        <v>0.5</v>
      </c>
      <c r="R278">
        <f>0.35*AVERAGE(L278:M278:N278)+0.3*O278+0.2*P278+0.15*Q278</f>
        <v>0.30833333333333329</v>
      </c>
      <c r="S278" t="str">
        <f>LEFT(K278,1)</f>
        <v/>
      </c>
      <c r="T278">
        <f>IF(S278="G",1,0)</f>
        <v>0</v>
      </c>
      <c r="U278">
        <f>IF(S278="K",1,0)</f>
        <v>0</v>
      </c>
      <c r="V278">
        <f>IF(S278="M",1,0)</f>
        <v>0</v>
      </c>
      <c r="W278">
        <f>IF(S278="F",1,0)</f>
        <v>0</v>
      </c>
    </row>
    <row r="279" spans="1:23" x14ac:dyDescent="0.3">
      <c r="A279" t="s">
        <v>486</v>
      </c>
      <c r="B279">
        <v>2.6949999999999998</v>
      </c>
      <c r="C279">
        <v>5.2</v>
      </c>
      <c r="D279">
        <v>6.557569</v>
      </c>
      <c r="G279">
        <f>IF(OR(C279="",B279="",B279=0),"",5.51*(C279/(B279^3)))</f>
        <v>1.4637895214022736</v>
      </c>
      <c r="H279">
        <v>4316</v>
      </c>
      <c r="I279">
        <v>0.13643681508398139</v>
      </c>
      <c r="J279">
        <v>-0.23</v>
      </c>
      <c r="L279">
        <f>IF(AND(B279&gt;=0.8,B279&lt;=1.5),1,IF(AND(B279&gt;=0.5,B279&lt;=2),0.5,0))</f>
        <v>0</v>
      </c>
      <c r="M279">
        <f>IF(AND(C279&gt;=0.5,C279&lt;=2),1,IF(AND(C279&gt;=0.1,C279&lt;=5),0.5,0))</f>
        <v>0</v>
      </c>
      <c r="N279">
        <f>IF(AND(G279&gt;=4,G279&lt;=7),1,IF(AND(G279&gt;=3,G279&lt;=8),0.5,0))</f>
        <v>0</v>
      </c>
      <c r="O279">
        <f>IF(AND(F279&gt;=270,F279&lt;=310),1,IF(AND(F279&gt;=250,F279&lt;=330),0.5,0))</f>
        <v>0</v>
      </c>
      <c r="P279">
        <f>IF(AND(E279&gt;=0.8,E279&lt;=1.5),1,IF(AND(E279&gt;=0.5,E279&lt;=2),0.5,0))</f>
        <v>0</v>
      </c>
      <c r="Q279">
        <f>IF(AND(H279&gt;=5000,H279&lt;=6000),1,IF(AND(H279&gt;=4000,H279&lt;5000),0.5,0))</f>
        <v>0.5</v>
      </c>
      <c r="R279">
        <f>0.35*AVERAGE(L279:M279:N279)+0.3*O279+0.2*P279+0.15*Q279</f>
        <v>7.4999999999999997E-2</v>
      </c>
      <c r="S279" t="str">
        <f>LEFT(K279,1)</f>
        <v/>
      </c>
      <c r="T279">
        <f>IF(S279="G",1,0)</f>
        <v>0</v>
      </c>
      <c r="U279">
        <f>IF(S279="K",1,0)</f>
        <v>0</v>
      </c>
      <c r="V279">
        <f>IF(S279="M",1,0)</f>
        <v>0</v>
      </c>
      <c r="W279">
        <f>IF(S279="F",1,0)</f>
        <v>0</v>
      </c>
    </row>
    <row r="280" spans="1:23" x14ac:dyDescent="0.3">
      <c r="A280" t="s">
        <v>485</v>
      </c>
      <c r="B280">
        <v>2.3010000000000002</v>
      </c>
      <c r="C280">
        <v>3.48</v>
      </c>
      <c r="D280">
        <v>9.9631799999999995</v>
      </c>
      <c r="G280">
        <f>IF(OR(C280="",B280="",B280=0),"",5.51*(C280/(B280^3)))</f>
        <v>1.5739139577472114</v>
      </c>
      <c r="H280">
        <v>4316</v>
      </c>
      <c r="I280">
        <v>0.13643681508398139</v>
      </c>
      <c r="J280">
        <v>-0.23</v>
      </c>
      <c r="L280">
        <f>IF(AND(B280&gt;=0.8,B280&lt;=1.5),1,IF(AND(B280&gt;=0.5,B280&lt;=2),0.5,0))</f>
        <v>0</v>
      </c>
      <c r="M280">
        <f>IF(AND(C280&gt;=0.5,C280&lt;=2),1,IF(AND(C280&gt;=0.1,C280&lt;=5),0.5,0))</f>
        <v>0.5</v>
      </c>
      <c r="N280">
        <f>IF(AND(G280&gt;=4,G280&lt;=7),1,IF(AND(G280&gt;=3,G280&lt;=8),0.5,0))</f>
        <v>0</v>
      </c>
      <c r="O280">
        <f>IF(AND(F280&gt;=270,F280&lt;=310),1,IF(AND(F280&gt;=250,F280&lt;=330),0.5,0))</f>
        <v>0</v>
      </c>
      <c r="P280">
        <f>IF(AND(E280&gt;=0.8,E280&lt;=1.5),1,IF(AND(E280&gt;=0.5,E280&lt;=2),0.5,0))</f>
        <v>0</v>
      </c>
      <c r="Q280">
        <f>IF(AND(H280&gt;=5000,H280&lt;=6000),1,IF(AND(H280&gt;=4000,H280&lt;5000),0.5,0))</f>
        <v>0.5</v>
      </c>
      <c r="R280">
        <f>0.35*AVERAGE(L280:M280:N280)+0.3*O280+0.2*P280+0.15*Q280</f>
        <v>0.13333333333333333</v>
      </c>
      <c r="S280" t="str">
        <f>LEFT(K280,1)</f>
        <v/>
      </c>
      <c r="T280">
        <f>IF(S280="G",1,0)</f>
        <v>0</v>
      </c>
      <c r="U280">
        <f>IF(S280="K",1,0)</f>
        <v>0</v>
      </c>
      <c r="V280">
        <f>IF(S280="M",1,0)</f>
        <v>0</v>
      </c>
      <c r="W280">
        <f>IF(S280="F",1,0)</f>
        <v>0</v>
      </c>
    </row>
    <row r="281" spans="1:23" x14ac:dyDescent="0.3">
      <c r="A281" t="s">
        <v>484</v>
      </c>
      <c r="B281">
        <v>2.9390000000000001</v>
      </c>
      <c r="C281">
        <v>4.4000000000000004</v>
      </c>
      <c r="D281">
        <v>20.716629999999999</v>
      </c>
      <c r="G281">
        <f>IF(OR(C281="",B281="",B281=0),"",5.51*(C281/(B281^3)))</f>
        <v>0.95500471797915376</v>
      </c>
      <c r="H281">
        <v>4316</v>
      </c>
      <c r="I281">
        <v>0.13643681508398139</v>
      </c>
      <c r="J281">
        <v>-0.23</v>
      </c>
      <c r="L281">
        <f>IF(AND(B281&gt;=0.8,B281&lt;=1.5),1,IF(AND(B281&gt;=0.5,B281&lt;=2),0.5,0))</f>
        <v>0</v>
      </c>
      <c r="M281">
        <f>IF(AND(C281&gt;=0.5,C281&lt;=2),1,IF(AND(C281&gt;=0.1,C281&lt;=5),0.5,0))</f>
        <v>0.5</v>
      </c>
      <c r="N281">
        <f>IF(AND(G281&gt;=4,G281&lt;=7),1,IF(AND(G281&gt;=3,G281&lt;=8),0.5,0))</f>
        <v>0</v>
      </c>
      <c r="O281">
        <f>IF(AND(F281&gt;=270,F281&lt;=310),1,IF(AND(F281&gt;=250,F281&lt;=330),0.5,0))</f>
        <v>0</v>
      </c>
      <c r="P281">
        <f>IF(AND(E281&gt;=0.8,E281&lt;=1.5),1,IF(AND(E281&gt;=0.5,E281&lt;=2),0.5,0))</f>
        <v>0</v>
      </c>
      <c r="Q281">
        <f>IF(AND(H281&gt;=5000,H281&lt;=6000),1,IF(AND(H281&gt;=4000,H281&lt;5000),0.5,0))</f>
        <v>0.5</v>
      </c>
      <c r="R281">
        <f>0.35*AVERAGE(L281:M281:N281)+0.3*O281+0.2*P281+0.15*Q281</f>
        <v>0.13333333333333333</v>
      </c>
      <c r="S281" t="str">
        <f>LEFT(K281,1)</f>
        <v/>
      </c>
      <c r="T281">
        <f>IF(S281="G",1,0)</f>
        <v>0</v>
      </c>
      <c r="U281">
        <f>IF(S281="K",1,0)</f>
        <v>0</v>
      </c>
      <c r="V281">
        <f>IF(S281="M",1,0)</f>
        <v>0</v>
      </c>
      <c r="W281">
        <f>IF(S281="F",1,0)</f>
        <v>0</v>
      </c>
    </row>
    <row r="282" spans="1:23" x14ac:dyDescent="0.3">
      <c r="A282" t="s">
        <v>483</v>
      </c>
      <c r="B282">
        <v>2.3679999999999999</v>
      </c>
      <c r="D282">
        <v>4.9876410279999996</v>
      </c>
      <c r="E282">
        <v>5.024E-2</v>
      </c>
      <c r="G282" t="str">
        <f>IF(OR(C282="",B282="",B282=0),"",5.51*(C282/(B282^3)))</f>
        <v/>
      </c>
      <c r="H282">
        <v>4336</v>
      </c>
      <c r="I282">
        <v>0.14193816281869462</v>
      </c>
      <c r="L282">
        <f>IF(AND(B282&gt;=0.8,B282&lt;=1.5),1,IF(AND(B282&gt;=0.5,B282&lt;=2),0.5,0))</f>
        <v>0</v>
      </c>
      <c r="M282">
        <f>IF(AND(C282&gt;=0.5,C282&lt;=2),1,IF(AND(C282&gt;=0.1,C282&lt;=5),0.5,0))</f>
        <v>0</v>
      </c>
      <c r="N282">
        <f>IF(AND(G282&gt;=4,G282&lt;=7),1,IF(AND(G282&gt;=3,G282&lt;=8),0.5,0))</f>
        <v>0</v>
      </c>
      <c r="O282">
        <f>IF(AND(F282&gt;=270,F282&lt;=310),1,IF(AND(F282&gt;=250,F282&lt;=330),0.5,0))</f>
        <v>0</v>
      </c>
      <c r="P282">
        <f>IF(AND(E282&gt;=0.8,E282&lt;=1.5),1,IF(AND(E282&gt;=0.5,E282&lt;=2),0.5,0))</f>
        <v>0</v>
      </c>
      <c r="Q282">
        <f>IF(AND(H282&gt;=5000,H282&lt;=6000),1,IF(AND(H282&gt;=4000,H282&lt;5000),0.5,0))</f>
        <v>0.5</v>
      </c>
      <c r="R282">
        <f>0.35*AVERAGE(L282:M282:N282)+0.3*O282+0.2*P282+0.15*Q282</f>
        <v>7.4999999999999997E-2</v>
      </c>
      <c r="S282" t="str">
        <f>LEFT(K282,1)</f>
        <v/>
      </c>
      <c r="T282">
        <f>IF(S282="G",1,0)</f>
        <v>0</v>
      </c>
      <c r="U282">
        <f>IF(S282="K",1,0)</f>
        <v>0</v>
      </c>
      <c r="V282">
        <f>IF(S282="M",1,0)</f>
        <v>0</v>
      </c>
      <c r="W282">
        <f>IF(S282="F",1,0)</f>
        <v>0</v>
      </c>
    </row>
    <row r="283" spans="1:23" x14ac:dyDescent="0.3">
      <c r="A283" t="s">
        <v>482</v>
      </c>
      <c r="B283">
        <v>1.839</v>
      </c>
      <c r="D283">
        <v>1.8290242269999999</v>
      </c>
      <c r="E283">
        <v>2.5739000000000001E-2</v>
      </c>
      <c r="G283" t="str">
        <f>IF(OR(C283="",B283="",B283=0),"",5.51*(C283/(B283^3)))</f>
        <v/>
      </c>
      <c r="H283">
        <v>4336</v>
      </c>
      <c r="I283">
        <v>0.14193816281869462</v>
      </c>
      <c r="L283">
        <f>IF(AND(B283&gt;=0.8,B283&lt;=1.5),1,IF(AND(B283&gt;=0.5,B283&lt;=2),0.5,0))</f>
        <v>0.5</v>
      </c>
      <c r="M283">
        <f>IF(AND(C283&gt;=0.5,C283&lt;=2),1,IF(AND(C283&gt;=0.1,C283&lt;=5),0.5,0))</f>
        <v>0</v>
      </c>
      <c r="N283">
        <f>IF(AND(G283&gt;=4,G283&lt;=7),1,IF(AND(G283&gt;=3,G283&lt;=8),0.5,0))</f>
        <v>0</v>
      </c>
      <c r="O283">
        <f>IF(AND(F283&gt;=270,F283&lt;=310),1,IF(AND(F283&gt;=250,F283&lt;=330),0.5,0))</f>
        <v>0</v>
      </c>
      <c r="P283">
        <f>IF(AND(E283&gt;=0.8,E283&lt;=1.5),1,IF(AND(E283&gt;=0.5,E283&lt;=2),0.5,0))</f>
        <v>0</v>
      </c>
      <c r="Q283">
        <f>IF(AND(H283&gt;=5000,H283&lt;=6000),1,IF(AND(H283&gt;=4000,H283&lt;5000),0.5,0))</f>
        <v>0.5</v>
      </c>
      <c r="R283">
        <f>0.35*AVERAGE(L283:M283:N283)+0.3*O283+0.2*P283+0.15*Q283</f>
        <v>0.13333333333333333</v>
      </c>
      <c r="S283" t="str">
        <f>LEFT(K283,1)</f>
        <v/>
      </c>
      <c r="T283">
        <f>IF(S283="G",1,0)</f>
        <v>0</v>
      </c>
      <c r="U283">
        <f>IF(S283="K",1,0)</f>
        <v>0</v>
      </c>
      <c r="V283">
        <f>IF(S283="M",1,0)</f>
        <v>0</v>
      </c>
      <c r="W283">
        <f>IF(S283="F",1,0)</f>
        <v>0</v>
      </c>
    </row>
    <row r="284" spans="1:23" x14ac:dyDescent="0.3">
      <c r="A284" t="s">
        <v>481</v>
      </c>
      <c r="B284">
        <v>16.140932209999999</v>
      </c>
      <c r="C284">
        <v>222.4798849</v>
      </c>
      <c r="D284">
        <v>3.2086640000000002</v>
      </c>
      <c r="E284">
        <v>4.8820000000000002E-2</v>
      </c>
      <c r="F284">
        <v>1927</v>
      </c>
      <c r="G284">
        <f>IF(OR(C284="",B284="",B284=0),"",5.51*(C284/(B284^3)))</f>
        <v>0.29151204857837176</v>
      </c>
      <c r="H284">
        <v>5991</v>
      </c>
      <c r="I284">
        <v>5.432574416183976</v>
      </c>
      <c r="J284">
        <v>0.373</v>
      </c>
      <c r="K284" t="s">
        <v>18</v>
      </c>
      <c r="L284">
        <f>IF(AND(B284&gt;=0.8,B284&lt;=1.5),1,IF(AND(B284&gt;=0.5,B284&lt;=2),0.5,0))</f>
        <v>0</v>
      </c>
      <c r="M284">
        <f>IF(AND(C284&gt;=0.5,C284&lt;=2),1,IF(AND(C284&gt;=0.1,C284&lt;=5),0.5,0))</f>
        <v>0</v>
      </c>
      <c r="N284">
        <f>IF(AND(G284&gt;=4,G284&lt;=7),1,IF(AND(G284&gt;=3,G284&lt;=8),0.5,0))</f>
        <v>0</v>
      </c>
      <c r="O284">
        <f>IF(AND(F284&gt;=270,F284&lt;=310),1,IF(AND(F284&gt;=250,F284&lt;=330),0.5,0))</f>
        <v>0</v>
      </c>
      <c r="P284">
        <f>IF(AND(E284&gt;=0.8,E284&lt;=1.5),1,IF(AND(E284&gt;=0.5,E284&lt;=2),0.5,0))</f>
        <v>0</v>
      </c>
      <c r="Q284">
        <f>IF(AND(H284&gt;=5000,H284&lt;=6000),1,IF(AND(H284&gt;=4000,H284&lt;5000),0.5,0))</f>
        <v>1</v>
      </c>
      <c r="R284">
        <f>0.35*AVERAGE(L284:M284:N284)+0.3*O284+0.2*P284+0.15*Q284</f>
        <v>0.15</v>
      </c>
      <c r="S284" t="str">
        <f>LEFT(K284,1)</f>
        <v>F</v>
      </c>
      <c r="T284">
        <f>IF(S284="G",1,0)</f>
        <v>0</v>
      </c>
      <c r="U284">
        <f>IF(S284="K",1,0)</f>
        <v>0</v>
      </c>
      <c r="V284">
        <f>IF(S284="M",1,0)</f>
        <v>0</v>
      </c>
      <c r="W284">
        <f>IF(S284="F",1,0)</f>
        <v>1</v>
      </c>
    </row>
    <row r="285" spans="1:23" x14ac:dyDescent="0.3">
      <c r="A285" t="s">
        <v>480</v>
      </c>
      <c r="B285">
        <v>3.2970126799999999</v>
      </c>
      <c r="C285">
        <v>8.6999999999999993</v>
      </c>
      <c r="D285">
        <v>8.7655279999999998</v>
      </c>
      <c r="E285">
        <v>8.2000000000000003E-2</v>
      </c>
      <c r="F285">
        <v>992.91</v>
      </c>
      <c r="G285">
        <f>IF(OR(C285="",B285="",B285=0),"",5.51*(C285/(B285^3)))</f>
        <v>1.3375468387715936</v>
      </c>
      <c r="H285">
        <v>5631</v>
      </c>
      <c r="I285">
        <v>1.5627004321747409</v>
      </c>
      <c r="J285">
        <v>3.5000000000000003E-2</v>
      </c>
      <c r="L285">
        <f>IF(AND(B285&gt;=0.8,B285&lt;=1.5),1,IF(AND(B285&gt;=0.5,B285&lt;=2),0.5,0))</f>
        <v>0</v>
      </c>
      <c r="M285">
        <f>IF(AND(C285&gt;=0.5,C285&lt;=2),1,IF(AND(C285&gt;=0.1,C285&lt;=5),0.5,0))</f>
        <v>0</v>
      </c>
      <c r="N285">
        <f>IF(AND(G285&gt;=4,G285&lt;=7),1,IF(AND(G285&gt;=3,G285&lt;=8),0.5,0))</f>
        <v>0</v>
      </c>
      <c r="O285">
        <f>IF(AND(F285&gt;=270,F285&lt;=310),1,IF(AND(F285&gt;=250,F285&lt;=330),0.5,0))</f>
        <v>0</v>
      </c>
      <c r="P285">
        <f>IF(AND(E285&gt;=0.8,E285&lt;=1.5),1,IF(AND(E285&gt;=0.5,E285&lt;=2),0.5,0))</f>
        <v>0</v>
      </c>
      <c r="Q285">
        <f>IF(AND(H285&gt;=5000,H285&lt;=6000),1,IF(AND(H285&gt;=4000,H285&lt;5000),0.5,0))</f>
        <v>1</v>
      </c>
      <c r="R285">
        <f>0.35*AVERAGE(L285:M285:N285)+0.3*O285+0.2*P285+0.15*Q285</f>
        <v>0.15</v>
      </c>
      <c r="S285" t="str">
        <f>LEFT(K285,1)</f>
        <v/>
      </c>
      <c r="T285">
        <f>IF(S285="G",1,0)</f>
        <v>0</v>
      </c>
      <c r="U285">
        <f>IF(S285="K",1,0)</f>
        <v>0</v>
      </c>
      <c r="V285">
        <f>IF(S285="M",1,0)</f>
        <v>0</v>
      </c>
      <c r="W285">
        <f>IF(S285="F",1,0)</f>
        <v>0</v>
      </c>
    </row>
    <row r="286" spans="1:23" x14ac:dyDescent="0.3">
      <c r="A286" t="s">
        <v>479</v>
      </c>
      <c r="B286">
        <v>2.448</v>
      </c>
      <c r="D286">
        <v>8.0215223309999999</v>
      </c>
      <c r="E286">
        <v>7.4983999999999995E-2</v>
      </c>
      <c r="G286" t="str">
        <f>IF(OR(C286="",B286="",B286=0),"",5.51*(C286/(B286^3)))</f>
        <v/>
      </c>
      <c r="H286">
        <v>5165</v>
      </c>
      <c r="I286">
        <v>0.38847257002754909</v>
      </c>
      <c r="L286">
        <f>IF(AND(B286&gt;=0.8,B286&lt;=1.5),1,IF(AND(B286&gt;=0.5,B286&lt;=2),0.5,0))</f>
        <v>0</v>
      </c>
      <c r="M286">
        <f>IF(AND(C286&gt;=0.5,C286&lt;=2),1,IF(AND(C286&gt;=0.1,C286&lt;=5),0.5,0))</f>
        <v>0</v>
      </c>
      <c r="N286">
        <f>IF(AND(G286&gt;=4,G286&lt;=7),1,IF(AND(G286&gt;=3,G286&lt;=8),0.5,0))</f>
        <v>0</v>
      </c>
      <c r="O286">
        <f>IF(AND(F286&gt;=270,F286&lt;=310),1,IF(AND(F286&gt;=250,F286&lt;=330),0.5,0))</f>
        <v>0</v>
      </c>
      <c r="P286">
        <f>IF(AND(E286&gt;=0.8,E286&lt;=1.5),1,IF(AND(E286&gt;=0.5,E286&lt;=2),0.5,0))</f>
        <v>0</v>
      </c>
      <c r="Q286">
        <f>IF(AND(H286&gt;=5000,H286&lt;=6000),1,IF(AND(H286&gt;=4000,H286&lt;5000),0.5,0))</f>
        <v>1</v>
      </c>
      <c r="R286">
        <f>0.35*AVERAGE(L286:M286:N286)+0.3*O286+0.2*P286+0.15*Q286</f>
        <v>0.15</v>
      </c>
      <c r="S286" t="str">
        <f>LEFT(K286,1)</f>
        <v/>
      </c>
      <c r="T286">
        <f>IF(S286="G",1,0)</f>
        <v>0</v>
      </c>
      <c r="U286">
        <f>IF(S286="K",1,0)</f>
        <v>0</v>
      </c>
      <c r="V286">
        <f>IF(S286="M",1,0)</f>
        <v>0</v>
      </c>
      <c r="W286">
        <f>IF(S286="F",1,0)</f>
        <v>0</v>
      </c>
    </row>
    <row r="287" spans="1:23" x14ac:dyDescent="0.3">
      <c r="A287" t="s">
        <v>478</v>
      </c>
      <c r="B287">
        <v>1.464</v>
      </c>
      <c r="D287">
        <v>0.43781182200000002</v>
      </c>
      <c r="E287">
        <v>1.0789E-2</v>
      </c>
      <c r="G287" t="str">
        <f>IF(OR(C287="",B287="",B287=0),"",5.51*(C287/(B287^3)))</f>
        <v/>
      </c>
      <c r="H287">
        <v>5165</v>
      </c>
      <c r="I287">
        <v>0.38847257002754909</v>
      </c>
      <c r="L287">
        <f>IF(AND(B287&gt;=0.8,B287&lt;=1.5),1,IF(AND(B287&gt;=0.5,B287&lt;=2),0.5,0))</f>
        <v>1</v>
      </c>
      <c r="M287">
        <f>IF(AND(C287&gt;=0.5,C287&lt;=2),1,IF(AND(C287&gt;=0.1,C287&lt;=5),0.5,0))</f>
        <v>0</v>
      </c>
      <c r="N287">
        <f>IF(AND(G287&gt;=4,G287&lt;=7),1,IF(AND(G287&gt;=3,G287&lt;=8),0.5,0))</f>
        <v>0</v>
      </c>
      <c r="O287">
        <f>IF(AND(F287&gt;=270,F287&lt;=310),1,IF(AND(F287&gt;=250,F287&lt;=330),0.5,0))</f>
        <v>0</v>
      </c>
      <c r="P287">
        <f>IF(AND(E287&gt;=0.8,E287&lt;=1.5),1,IF(AND(E287&gt;=0.5,E287&lt;=2),0.5,0))</f>
        <v>0</v>
      </c>
      <c r="Q287">
        <f>IF(AND(H287&gt;=5000,H287&lt;=6000),1,IF(AND(H287&gt;=4000,H287&lt;5000),0.5,0))</f>
        <v>1</v>
      </c>
      <c r="R287">
        <f>0.35*AVERAGE(L287:M287:N287)+0.3*O287+0.2*P287+0.15*Q287</f>
        <v>0.26666666666666666</v>
      </c>
      <c r="S287" t="str">
        <f>LEFT(K287,1)</f>
        <v/>
      </c>
      <c r="T287">
        <f>IF(S287="G",1,0)</f>
        <v>0</v>
      </c>
      <c r="U287">
        <f>IF(S287="K",1,0)</f>
        <v>0</v>
      </c>
      <c r="V287">
        <f>IF(S287="M",1,0)</f>
        <v>0</v>
      </c>
      <c r="W287">
        <f>IF(S287="F",1,0)</f>
        <v>0</v>
      </c>
    </row>
    <row r="288" spans="1:23" x14ac:dyDescent="0.3">
      <c r="A288" t="s">
        <v>477</v>
      </c>
      <c r="B288">
        <v>1.6419999999999999</v>
      </c>
      <c r="D288">
        <v>7.0945708649999997</v>
      </c>
      <c r="E288">
        <v>7.2501999999999997E-2</v>
      </c>
      <c r="G288" t="str">
        <f>IF(OR(C288="",B288="",B288=0),"",5.51*(C288/(B288^3)))</f>
        <v/>
      </c>
      <c r="H288">
        <v>5690</v>
      </c>
      <c r="I288">
        <v>0.86131654788988732</v>
      </c>
      <c r="L288">
        <f>IF(AND(B288&gt;=0.8,B288&lt;=1.5),1,IF(AND(B288&gt;=0.5,B288&lt;=2),0.5,0))</f>
        <v>0.5</v>
      </c>
      <c r="M288">
        <f>IF(AND(C288&gt;=0.5,C288&lt;=2),1,IF(AND(C288&gt;=0.1,C288&lt;=5),0.5,0))</f>
        <v>0</v>
      </c>
      <c r="N288">
        <f>IF(AND(G288&gt;=4,G288&lt;=7),1,IF(AND(G288&gt;=3,G288&lt;=8),0.5,0))</f>
        <v>0</v>
      </c>
      <c r="O288">
        <f>IF(AND(F288&gt;=270,F288&lt;=310),1,IF(AND(F288&gt;=250,F288&lt;=330),0.5,0))</f>
        <v>0</v>
      </c>
      <c r="P288">
        <f>IF(AND(E288&gt;=0.8,E288&lt;=1.5),1,IF(AND(E288&gt;=0.5,E288&lt;=2),0.5,0))</f>
        <v>0</v>
      </c>
      <c r="Q288">
        <f>IF(AND(H288&gt;=5000,H288&lt;=6000),1,IF(AND(H288&gt;=4000,H288&lt;5000),0.5,0))</f>
        <v>1</v>
      </c>
      <c r="R288">
        <f>0.35*AVERAGE(L288:M288:N288)+0.3*O288+0.2*P288+0.15*Q288</f>
        <v>0.20833333333333331</v>
      </c>
      <c r="S288" t="str">
        <f>LEFT(K288,1)</f>
        <v/>
      </c>
      <c r="T288">
        <f>IF(S288="G",1,0)</f>
        <v>0</v>
      </c>
      <c r="U288">
        <f>IF(S288="K",1,0)</f>
        <v>0</v>
      </c>
      <c r="V288">
        <f>IF(S288="M",1,0)</f>
        <v>0</v>
      </c>
      <c r="W288">
        <f>IF(S288="F",1,0)</f>
        <v>0</v>
      </c>
    </row>
    <row r="289" spans="1:23" x14ac:dyDescent="0.3">
      <c r="A289" t="s">
        <v>476</v>
      </c>
      <c r="B289">
        <v>2.0790000000000002</v>
      </c>
      <c r="C289">
        <v>5.7380000000000004</v>
      </c>
      <c r="D289">
        <v>10.64387</v>
      </c>
      <c r="F289">
        <v>493.7</v>
      </c>
      <c r="G289">
        <f>IF(OR(C289="",B289="",B289=0),"",5.51*(C289/(B289^3)))</f>
        <v>3.5184280532931838</v>
      </c>
      <c r="H289">
        <v>3863</v>
      </c>
      <c r="I289">
        <v>5.9781021981697234E-2</v>
      </c>
      <c r="J289">
        <v>-0.19</v>
      </c>
      <c r="K289" t="s">
        <v>475</v>
      </c>
      <c r="L289">
        <f>IF(AND(B289&gt;=0.8,B289&lt;=1.5),1,IF(AND(B289&gt;=0.5,B289&lt;=2),0.5,0))</f>
        <v>0</v>
      </c>
      <c r="M289">
        <f>IF(AND(C289&gt;=0.5,C289&lt;=2),1,IF(AND(C289&gt;=0.1,C289&lt;=5),0.5,0))</f>
        <v>0</v>
      </c>
      <c r="N289">
        <f>IF(AND(G289&gt;=4,G289&lt;=7),1,IF(AND(G289&gt;=3,G289&lt;=8),0.5,0))</f>
        <v>0.5</v>
      </c>
      <c r="O289">
        <f>IF(AND(F289&gt;=270,F289&lt;=310),1,IF(AND(F289&gt;=250,F289&lt;=330),0.5,0))</f>
        <v>0</v>
      </c>
      <c r="P289">
        <f>IF(AND(E289&gt;=0.8,E289&lt;=1.5),1,IF(AND(E289&gt;=0.5,E289&lt;=2),0.5,0))</f>
        <v>0</v>
      </c>
      <c r="Q289">
        <f>IF(AND(H289&gt;=5000,H289&lt;=6000),1,IF(AND(H289&gt;=4000,H289&lt;5000),0.5,0))</f>
        <v>0</v>
      </c>
      <c r="R289">
        <f>0.35*AVERAGE(L289:M289:N289)+0.3*O289+0.2*P289+0.15*Q289</f>
        <v>5.8333333333333327E-2</v>
      </c>
      <c r="S289" t="str">
        <f>LEFT(K289,1)</f>
        <v>M</v>
      </c>
      <c r="T289">
        <f>IF(S289="G",1,0)</f>
        <v>0</v>
      </c>
      <c r="U289">
        <f>IF(S289="K",1,0)</f>
        <v>0</v>
      </c>
      <c r="V289">
        <f>IF(S289="M",1,0)</f>
        <v>1</v>
      </c>
      <c r="W289">
        <f>IF(S289="F",1,0)</f>
        <v>0</v>
      </c>
    </row>
    <row r="290" spans="1:23" x14ac:dyDescent="0.3">
      <c r="A290" t="s">
        <v>474</v>
      </c>
      <c r="B290">
        <v>2.99</v>
      </c>
      <c r="C290">
        <v>10.32</v>
      </c>
      <c r="D290">
        <v>6.2932870000000003</v>
      </c>
      <c r="E290">
        <v>0.06</v>
      </c>
      <c r="F290">
        <v>747</v>
      </c>
      <c r="G290">
        <f>IF(OR(C290="",B290="",B290=0),"",5.51*(C290/(B290^3)))</f>
        <v>2.1272460757866765</v>
      </c>
      <c r="H290">
        <v>4687</v>
      </c>
      <c r="I290">
        <v>0.22135113216693669</v>
      </c>
      <c r="J290">
        <v>1.4E-2</v>
      </c>
      <c r="L290">
        <f>IF(AND(B290&gt;=0.8,B290&lt;=1.5),1,IF(AND(B290&gt;=0.5,B290&lt;=2),0.5,0))</f>
        <v>0</v>
      </c>
      <c r="M290">
        <f>IF(AND(C290&gt;=0.5,C290&lt;=2),1,IF(AND(C290&gt;=0.1,C290&lt;=5),0.5,0))</f>
        <v>0</v>
      </c>
      <c r="N290">
        <f>IF(AND(G290&gt;=4,G290&lt;=7),1,IF(AND(G290&gt;=3,G290&lt;=8),0.5,0))</f>
        <v>0</v>
      </c>
      <c r="O290">
        <f>IF(AND(F290&gt;=270,F290&lt;=310),1,IF(AND(F290&gt;=250,F290&lt;=330),0.5,0))</f>
        <v>0</v>
      </c>
      <c r="P290">
        <f>IF(AND(E290&gt;=0.8,E290&lt;=1.5),1,IF(AND(E290&gt;=0.5,E290&lt;=2),0.5,0))</f>
        <v>0</v>
      </c>
      <c r="Q290">
        <f>IF(AND(H290&gt;=5000,H290&lt;=6000),1,IF(AND(H290&gt;=4000,H290&lt;5000),0.5,0))</f>
        <v>0.5</v>
      </c>
      <c r="R290">
        <f>0.35*AVERAGE(L290:M290:N290)+0.3*O290+0.2*P290+0.15*Q290</f>
        <v>7.4999999999999997E-2</v>
      </c>
      <c r="S290" t="str">
        <f>LEFT(K290,1)</f>
        <v/>
      </c>
      <c r="T290">
        <f>IF(S290="G",1,0)</f>
        <v>0</v>
      </c>
      <c r="U290">
        <f>IF(S290="K",1,0)</f>
        <v>0</v>
      </c>
      <c r="V290">
        <f>IF(S290="M",1,0)</f>
        <v>0</v>
      </c>
      <c r="W290">
        <f>IF(S290="F",1,0)</f>
        <v>0</v>
      </c>
    </row>
    <row r="291" spans="1:23" x14ac:dyDescent="0.3">
      <c r="A291" t="s">
        <v>473</v>
      </c>
      <c r="B291">
        <v>4.29</v>
      </c>
      <c r="C291">
        <v>8</v>
      </c>
      <c r="D291">
        <v>12.885778999999999</v>
      </c>
      <c r="E291">
        <v>9.7000000000000003E-2</v>
      </c>
      <c r="F291">
        <v>588</v>
      </c>
      <c r="G291">
        <f>IF(OR(C291="",B291="",B291=0),"",5.51*(C291/(B291^3)))</f>
        <v>0.55830267576563242</v>
      </c>
      <c r="H291">
        <v>4687</v>
      </c>
      <c r="I291">
        <v>0.22135113216693669</v>
      </c>
      <c r="J291">
        <v>1.4E-2</v>
      </c>
      <c r="L291">
        <f>IF(AND(B291&gt;=0.8,B291&lt;=1.5),1,IF(AND(B291&gt;=0.5,B291&lt;=2),0.5,0))</f>
        <v>0</v>
      </c>
      <c r="M291">
        <f>IF(AND(C291&gt;=0.5,C291&lt;=2),1,IF(AND(C291&gt;=0.1,C291&lt;=5),0.5,0))</f>
        <v>0</v>
      </c>
      <c r="N291">
        <f>IF(AND(G291&gt;=4,G291&lt;=7),1,IF(AND(G291&gt;=3,G291&lt;=8),0.5,0))</f>
        <v>0</v>
      </c>
      <c r="O291">
        <f>IF(AND(F291&gt;=270,F291&lt;=310),1,IF(AND(F291&gt;=250,F291&lt;=330),0.5,0))</f>
        <v>0</v>
      </c>
      <c r="P291">
        <f>IF(AND(E291&gt;=0.8,E291&lt;=1.5),1,IF(AND(E291&gt;=0.5,E291&lt;=2),0.5,0))</f>
        <v>0</v>
      </c>
      <c r="Q291">
        <f>IF(AND(H291&gt;=5000,H291&lt;=6000),1,IF(AND(H291&gt;=4000,H291&lt;5000),0.5,0))</f>
        <v>0.5</v>
      </c>
      <c r="R291">
        <f>0.35*AVERAGE(L291:M291:N291)+0.3*O291+0.2*P291+0.15*Q291</f>
        <v>7.4999999999999997E-2</v>
      </c>
      <c r="S291" t="str">
        <f>LEFT(K291,1)</f>
        <v/>
      </c>
      <c r="T291">
        <f>IF(S291="G",1,0)</f>
        <v>0</v>
      </c>
      <c r="U291">
        <f>IF(S291="K",1,0)</f>
        <v>0</v>
      </c>
      <c r="V291">
        <f>IF(S291="M",1,0)</f>
        <v>0</v>
      </c>
      <c r="W291">
        <f>IF(S291="F",1,0)</f>
        <v>0</v>
      </c>
    </row>
    <row r="292" spans="1:23" x14ac:dyDescent="0.3">
      <c r="A292" t="s">
        <v>472</v>
      </c>
      <c r="B292">
        <v>3.4095366999999999</v>
      </c>
      <c r="D292">
        <v>15.1454693</v>
      </c>
      <c r="E292">
        <v>8.7735043999999998E-2</v>
      </c>
      <c r="F292">
        <v>337.47</v>
      </c>
      <c r="G292" t="str">
        <f>IF(OR(C292="",B292="",B292=0),"",5.51*(C292/(B292^3)))</f>
        <v/>
      </c>
      <c r="H292">
        <v>3272</v>
      </c>
      <c r="I292">
        <v>1.6583506526505809E-2</v>
      </c>
      <c r="L292">
        <f>IF(AND(B292&gt;=0.8,B292&lt;=1.5),1,IF(AND(B292&gt;=0.5,B292&lt;=2),0.5,0))</f>
        <v>0</v>
      </c>
      <c r="M292">
        <f>IF(AND(C292&gt;=0.5,C292&lt;=2),1,IF(AND(C292&gt;=0.1,C292&lt;=5),0.5,0))</f>
        <v>0</v>
      </c>
      <c r="N292">
        <f>IF(AND(G292&gt;=4,G292&lt;=7),1,IF(AND(G292&gt;=3,G292&lt;=8),0.5,0))</f>
        <v>0</v>
      </c>
      <c r="O292">
        <f>IF(AND(F292&gt;=270,F292&lt;=310),1,IF(AND(F292&gt;=250,F292&lt;=330),0.5,0))</f>
        <v>0</v>
      </c>
      <c r="P292">
        <f>IF(AND(E292&gt;=0.8,E292&lt;=1.5),1,IF(AND(E292&gt;=0.5,E292&lt;=2),0.5,0))</f>
        <v>0</v>
      </c>
      <c r="Q292">
        <f>IF(AND(H292&gt;=5000,H292&lt;=6000),1,IF(AND(H292&gt;=4000,H292&lt;5000),0.5,0))</f>
        <v>0</v>
      </c>
      <c r="R292">
        <f>0.35*AVERAGE(L292:M292:N292)+0.3*O292+0.2*P292+0.15*Q292</f>
        <v>0</v>
      </c>
      <c r="S292" t="str">
        <f>LEFT(K292,1)</f>
        <v/>
      </c>
      <c r="T292">
        <f>IF(S292="G",1,0)</f>
        <v>0</v>
      </c>
      <c r="U292">
        <f>IF(S292="K",1,0)</f>
        <v>0</v>
      </c>
      <c r="V292">
        <f>IF(S292="M",1,0)</f>
        <v>0</v>
      </c>
      <c r="W292">
        <f>IF(S292="F",1,0)</f>
        <v>0</v>
      </c>
    </row>
    <row r="293" spans="1:23" x14ac:dyDescent="0.3">
      <c r="A293" t="s">
        <v>471</v>
      </c>
      <c r="B293">
        <v>1.4968158300000001</v>
      </c>
      <c r="C293">
        <v>2.44</v>
      </c>
      <c r="D293">
        <v>0.54937097000000001</v>
      </c>
      <c r="E293">
        <v>1.2200000000000001E-2</v>
      </c>
      <c r="F293">
        <v>1694.1</v>
      </c>
      <c r="G293">
        <f>IF(OR(C293="",B293="",B293=0),"",5.51*(C293/(B293^3)))</f>
        <v>4.0090024589544946</v>
      </c>
      <c r="H293">
        <v>4914</v>
      </c>
      <c r="I293">
        <v>0.29114418036621881</v>
      </c>
      <c r="J293">
        <v>4.3999999999999997E-2</v>
      </c>
      <c r="L293">
        <f>IF(AND(B293&gt;=0.8,B293&lt;=1.5),1,IF(AND(B293&gt;=0.5,B293&lt;=2),0.5,0))</f>
        <v>1</v>
      </c>
      <c r="M293">
        <f>IF(AND(C293&gt;=0.5,C293&lt;=2),1,IF(AND(C293&gt;=0.1,C293&lt;=5),0.5,0))</f>
        <v>0.5</v>
      </c>
      <c r="N293">
        <f>IF(AND(G293&gt;=4,G293&lt;=7),1,IF(AND(G293&gt;=3,G293&lt;=8),0.5,0))</f>
        <v>1</v>
      </c>
      <c r="O293">
        <f>IF(AND(F293&gt;=270,F293&lt;=310),1,IF(AND(F293&gt;=250,F293&lt;=330),0.5,0))</f>
        <v>0</v>
      </c>
      <c r="P293">
        <f>IF(AND(E293&gt;=0.8,E293&lt;=1.5),1,IF(AND(E293&gt;=0.5,E293&lt;=2),0.5,0))</f>
        <v>0</v>
      </c>
      <c r="Q293">
        <f>IF(AND(H293&gt;=5000,H293&lt;=6000),1,IF(AND(H293&gt;=4000,H293&lt;5000),0.5,0))</f>
        <v>0.5</v>
      </c>
      <c r="R293">
        <f>0.35*AVERAGE(L293:M293:N293)+0.3*O293+0.2*P293+0.15*Q293</f>
        <v>0.3666666666666667</v>
      </c>
      <c r="S293" t="str">
        <f>LEFT(K293,1)</f>
        <v/>
      </c>
      <c r="T293">
        <f>IF(S293="G",1,0)</f>
        <v>0</v>
      </c>
      <c r="U293">
        <f>IF(S293="K",1,0)</f>
        <v>0</v>
      </c>
      <c r="V293">
        <f>IF(S293="M",1,0)</f>
        <v>0</v>
      </c>
      <c r="W293">
        <f>IF(S293="F",1,0)</f>
        <v>0</v>
      </c>
    </row>
    <row r="294" spans="1:23" x14ac:dyDescent="0.3">
      <c r="A294" t="s">
        <v>470</v>
      </c>
      <c r="B294">
        <v>6.9558999999999997</v>
      </c>
      <c r="C294">
        <v>46.168700000000001</v>
      </c>
      <c r="D294">
        <v>4.532</v>
      </c>
      <c r="E294">
        <v>5.3900000000000003E-2</v>
      </c>
      <c r="F294">
        <v>895.1</v>
      </c>
      <c r="G294">
        <f>IF(OR(C294="",B294="",B294=0),"",5.51*(C294/(B294^3)))</f>
        <v>0.75585633157899779</v>
      </c>
      <c r="H294">
        <v>4994</v>
      </c>
      <c r="I294">
        <v>0.30973946760172311</v>
      </c>
      <c r="J294">
        <v>0.27200000000000002</v>
      </c>
      <c r="K294" t="s">
        <v>20</v>
      </c>
      <c r="L294">
        <f>IF(AND(B294&gt;=0.8,B294&lt;=1.5),1,IF(AND(B294&gt;=0.5,B294&lt;=2),0.5,0))</f>
        <v>0</v>
      </c>
      <c r="M294">
        <f>IF(AND(C294&gt;=0.5,C294&lt;=2),1,IF(AND(C294&gt;=0.1,C294&lt;=5),0.5,0))</f>
        <v>0</v>
      </c>
      <c r="N294">
        <f>IF(AND(G294&gt;=4,G294&lt;=7),1,IF(AND(G294&gt;=3,G294&lt;=8),0.5,0))</f>
        <v>0</v>
      </c>
      <c r="O294">
        <f>IF(AND(F294&gt;=270,F294&lt;=310),1,IF(AND(F294&gt;=250,F294&lt;=330),0.5,0))</f>
        <v>0</v>
      </c>
      <c r="P294">
        <f>IF(AND(E294&gt;=0.8,E294&lt;=1.5),1,IF(AND(E294&gt;=0.5,E294&lt;=2),0.5,0))</f>
        <v>0</v>
      </c>
      <c r="Q294">
        <f>IF(AND(H294&gt;=5000,H294&lt;=6000),1,IF(AND(H294&gt;=4000,H294&lt;5000),0.5,0))</f>
        <v>0.5</v>
      </c>
      <c r="R294">
        <f>0.35*AVERAGE(L294:M294:N294)+0.3*O294+0.2*P294+0.15*Q294</f>
        <v>7.4999999999999997E-2</v>
      </c>
      <c r="S294" t="str">
        <f>LEFT(K294,1)</f>
        <v>K</v>
      </c>
      <c r="T294">
        <f>IF(S294="G",1,0)</f>
        <v>0</v>
      </c>
      <c r="U294">
        <f>IF(S294="K",1,0)</f>
        <v>1</v>
      </c>
      <c r="V294">
        <f>IF(S294="M",1,0)</f>
        <v>0</v>
      </c>
      <c r="W294">
        <f>IF(S294="F",1,0)</f>
        <v>0</v>
      </c>
    </row>
    <row r="295" spans="1:23" x14ac:dyDescent="0.3">
      <c r="A295" t="s">
        <v>469</v>
      </c>
      <c r="B295">
        <v>11.141726820000001</v>
      </c>
      <c r="C295">
        <v>308.92921159999997</v>
      </c>
      <c r="D295">
        <v>3.7130765000000001</v>
      </c>
      <c r="E295">
        <v>4.3889999999999998E-2</v>
      </c>
      <c r="F295">
        <v>962.2</v>
      </c>
      <c r="G295">
        <f>IF(OR(C295="",B295="",B295=0),"",5.51*(C295/(B295^3)))</f>
        <v>1.2307024271567499</v>
      </c>
      <c r="H295">
        <v>4766</v>
      </c>
      <c r="I295">
        <v>0.27375287040109175</v>
      </c>
      <c r="J295">
        <v>0.30599999999999999</v>
      </c>
      <c r="L295">
        <f>IF(AND(B295&gt;=0.8,B295&lt;=1.5),1,IF(AND(B295&gt;=0.5,B295&lt;=2),0.5,0))</f>
        <v>0</v>
      </c>
      <c r="M295">
        <f>IF(AND(C295&gt;=0.5,C295&lt;=2),1,IF(AND(C295&gt;=0.1,C295&lt;=5),0.5,0))</f>
        <v>0</v>
      </c>
      <c r="N295">
        <f>IF(AND(G295&gt;=4,G295&lt;=7),1,IF(AND(G295&gt;=3,G295&lt;=8),0.5,0))</f>
        <v>0</v>
      </c>
      <c r="O295">
        <f>IF(AND(F295&gt;=270,F295&lt;=310),1,IF(AND(F295&gt;=250,F295&lt;=330),0.5,0))</f>
        <v>0</v>
      </c>
      <c r="P295">
        <f>IF(AND(E295&gt;=0.8,E295&lt;=1.5),1,IF(AND(E295&gt;=0.5,E295&lt;=2),0.5,0))</f>
        <v>0</v>
      </c>
      <c r="Q295">
        <f>IF(AND(H295&gt;=5000,H295&lt;=6000),1,IF(AND(H295&gt;=4000,H295&lt;5000),0.5,0))</f>
        <v>0.5</v>
      </c>
      <c r="R295">
        <f>0.35*AVERAGE(L295:M295:N295)+0.3*O295+0.2*P295+0.15*Q295</f>
        <v>7.4999999999999997E-2</v>
      </c>
      <c r="S295" t="str">
        <f>LEFT(K295,1)</f>
        <v/>
      </c>
      <c r="T295">
        <f>IF(S295="G",1,0)</f>
        <v>0</v>
      </c>
      <c r="U295">
        <f>IF(S295="K",1,0)</f>
        <v>0</v>
      </c>
      <c r="V295">
        <f>IF(S295="M",1,0)</f>
        <v>0</v>
      </c>
      <c r="W295">
        <f>IF(S295="F",1,0)</f>
        <v>0</v>
      </c>
    </row>
    <row r="296" spans="1:23" x14ac:dyDescent="0.3">
      <c r="A296" t="s">
        <v>468</v>
      </c>
      <c r="B296">
        <v>12.778238</v>
      </c>
      <c r="C296">
        <v>731.00533610000002</v>
      </c>
      <c r="D296">
        <v>4.8606740000000004</v>
      </c>
      <c r="E296">
        <v>6.0999999999999999E-2</v>
      </c>
      <c r="F296">
        <v>1375</v>
      </c>
      <c r="G296">
        <f>IF(OR(C296="",B296="",B296=0),"",5.51*(C296/(B296^3)))</f>
        <v>1.9304529785792093</v>
      </c>
      <c r="H296">
        <v>5734</v>
      </c>
      <c r="I296">
        <v>2.2114366303664981</v>
      </c>
      <c r="J296">
        <v>0.14000000000000001</v>
      </c>
      <c r="L296">
        <f>IF(AND(B296&gt;=0.8,B296&lt;=1.5),1,IF(AND(B296&gt;=0.5,B296&lt;=2),0.5,0))</f>
        <v>0</v>
      </c>
      <c r="M296">
        <f>IF(AND(C296&gt;=0.5,C296&lt;=2),1,IF(AND(C296&gt;=0.1,C296&lt;=5),0.5,0))</f>
        <v>0</v>
      </c>
      <c r="N296">
        <f>IF(AND(G296&gt;=4,G296&lt;=7),1,IF(AND(G296&gt;=3,G296&lt;=8),0.5,0))</f>
        <v>0</v>
      </c>
      <c r="O296">
        <f>IF(AND(F296&gt;=270,F296&lt;=310),1,IF(AND(F296&gt;=250,F296&lt;=330),0.5,0))</f>
        <v>0</v>
      </c>
      <c r="P296">
        <f>IF(AND(E296&gt;=0.8,E296&lt;=1.5),1,IF(AND(E296&gt;=0.5,E296&lt;=2),0.5,0))</f>
        <v>0</v>
      </c>
      <c r="Q296">
        <f>IF(AND(H296&gt;=5000,H296&lt;=6000),1,IF(AND(H296&gt;=4000,H296&lt;5000),0.5,0))</f>
        <v>1</v>
      </c>
      <c r="R296">
        <f>0.35*AVERAGE(L296:M296:N296)+0.3*O296+0.2*P296+0.15*Q296</f>
        <v>0.15</v>
      </c>
      <c r="S296" t="str">
        <f>LEFT(K296,1)</f>
        <v/>
      </c>
      <c r="T296">
        <f>IF(S296="G",1,0)</f>
        <v>0</v>
      </c>
      <c r="U296">
        <f>IF(S296="K",1,0)</f>
        <v>0</v>
      </c>
      <c r="V296">
        <f>IF(S296="M",1,0)</f>
        <v>0</v>
      </c>
      <c r="W296">
        <f>IF(S296="F",1,0)</f>
        <v>0</v>
      </c>
    </row>
    <row r="297" spans="1:23" x14ac:dyDescent="0.3">
      <c r="A297" t="s">
        <v>467</v>
      </c>
      <c r="B297">
        <v>7.5406240999999996</v>
      </c>
      <c r="C297">
        <v>67.400000000000006</v>
      </c>
      <c r="D297">
        <v>38.799999999999997</v>
      </c>
      <c r="E297">
        <v>0.21199999999999999</v>
      </c>
      <c r="F297">
        <v>423.63</v>
      </c>
      <c r="G297">
        <f>IF(OR(C297="",B297="",B297=0),"",5.51*(C297/(B297^3)))</f>
        <v>0.86614304043217605</v>
      </c>
      <c r="H297">
        <v>4927</v>
      </c>
      <c r="I297">
        <v>0.34253421115173932</v>
      </c>
      <c r="J297">
        <v>0.24299999999999999</v>
      </c>
      <c r="L297">
        <f>IF(AND(B297&gt;=0.8,B297&lt;=1.5),1,IF(AND(B297&gt;=0.5,B297&lt;=2),0.5,0))</f>
        <v>0</v>
      </c>
      <c r="M297">
        <f>IF(AND(C297&gt;=0.5,C297&lt;=2),1,IF(AND(C297&gt;=0.1,C297&lt;=5),0.5,0))</f>
        <v>0</v>
      </c>
      <c r="N297">
        <f>IF(AND(G297&gt;=4,G297&lt;=7),1,IF(AND(G297&gt;=3,G297&lt;=8),0.5,0))</f>
        <v>0</v>
      </c>
      <c r="O297">
        <f>IF(AND(F297&gt;=270,F297&lt;=310),1,IF(AND(F297&gt;=250,F297&lt;=330),0.5,0))</f>
        <v>0</v>
      </c>
      <c r="P297">
        <f>IF(AND(E297&gt;=0.8,E297&lt;=1.5),1,IF(AND(E297&gt;=0.5,E297&lt;=2),0.5,0))</f>
        <v>0</v>
      </c>
      <c r="Q297">
        <f>IF(AND(H297&gt;=5000,H297&lt;=6000),1,IF(AND(H297&gt;=4000,H297&lt;5000),0.5,0))</f>
        <v>0.5</v>
      </c>
      <c r="R297">
        <f>0.35*AVERAGE(L297:M297:N297)+0.3*O297+0.2*P297+0.15*Q297</f>
        <v>7.4999999999999997E-2</v>
      </c>
      <c r="S297" t="str">
        <f>LEFT(K297,1)</f>
        <v/>
      </c>
      <c r="T297">
        <f>IF(S297="G",1,0)</f>
        <v>0</v>
      </c>
      <c r="U297">
        <f>IF(S297="K",1,0)</f>
        <v>0</v>
      </c>
      <c r="V297">
        <f>IF(S297="M",1,0)</f>
        <v>0</v>
      </c>
      <c r="W297">
        <f>IF(S297="F",1,0)</f>
        <v>0</v>
      </c>
    </row>
    <row r="298" spans="1:23" x14ac:dyDescent="0.3">
      <c r="A298" t="s">
        <v>466</v>
      </c>
      <c r="B298">
        <v>2.7438269000000002</v>
      </c>
      <c r="C298">
        <v>16</v>
      </c>
      <c r="D298">
        <v>22.808533000000001</v>
      </c>
      <c r="E298">
        <v>0.151</v>
      </c>
      <c r="F298">
        <v>528.66999999999996</v>
      </c>
      <c r="G298">
        <f>IF(OR(C298="",B298="",B298=0),"",5.51*(C298/(B298^3)))</f>
        <v>4.2677743893031073</v>
      </c>
      <c r="H298">
        <v>5165</v>
      </c>
      <c r="I298">
        <v>0.42131222388378214</v>
      </c>
      <c r="J298">
        <v>0.124</v>
      </c>
      <c r="L298">
        <f>IF(AND(B298&gt;=0.8,B298&lt;=1.5),1,IF(AND(B298&gt;=0.5,B298&lt;=2),0.5,0))</f>
        <v>0</v>
      </c>
      <c r="M298">
        <f>IF(AND(C298&gt;=0.5,C298&lt;=2),1,IF(AND(C298&gt;=0.1,C298&lt;=5),0.5,0))</f>
        <v>0</v>
      </c>
      <c r="N298">
        <f>IF(AND(G298&gt;=4,G298&lt;=7),1,IF(AND(G298&gt;=3,G298&lt;=8),0.5,0))</f>
        <v>1</v>
      </c>
      <c r="O298">
        <f>IF(AND(F298&gt;=270,F298&lt;=310),1,IF(AND(F298&gt;=250,F298&lt;=330),0.5,0))</f>
        <v>0</v>
      </c>
      <c r="P298">
        <f>IF(AND(E298&gt;=0.8,E298&lt;=1.5),1,IF(AND(E298&gt;=0.5,E298&lt;=2),0.5,0))</f>
        <v>0</v>
      </c>
      <c r="Q298">
        <f>IF(AND(H298&gt;=5000,H298&lt;=6000),1,IF(AND(H298&gt;=4000,H298&lt;5000),0.5,0))</f>
        <v>1</v>
      </c>
      <c r="R298">
        <f>0.35*AVERAGE(L298:M298:N298)+0.3*O298+0.2*P298+0.15*Q298</f>
        <v>0.26666666666666666</v>
      </c>
      <c r="S298" t="str">
        <f>LEFT(K298,1)</f>
        <v/>
      </c>
      <c r="T298">
        <f>IF(S298="G",1,0)</f>
        <v>0</v>
      </c>
      <c r="U298">
        <f>IF(S298="K",1,0)</f>
        <v>0</v>
      </c>
      <c r="V298">
        <f>IF(S298="M",1,0)</f>
        <v>0</v>
      </c>
      <c r="W298">
        <f>IF(S298="F",1,0)</f>
        <v>0</v>
      </c>
    </row>
    <row r="299" spans="1:23" x14ac:dyDescent="0.3">
      <c r="A299" t="s">
        <v>465</v>
      </c>
      <c r="B299">
        <v>8.00321222</v>
      </c>
      <c r="C299">
        <v>38.457237249999999</v>
      </c>
      <c r="D299">
        <v>20.380799</v>
      </c>
      <c r="E299">
        <v>0.15970000000000001</v>
      </c>
      <c r="F299">
        <v>966</v>
      </c>
      <c r="G299">
        <f>IF(OR(C299="",B299="",B299=0),"",5.51*(C299/(B299^3)))</f>
        <v>0.41336783556411921</v>
      </c>
      <c r="H299">
        <v>6380</v>
      </c>
      <c r="I299">
        <v>3.6968850888884437</v>
      </c>
      <c r="J299">
        <v>-0.10100000000000001</v>
      </c>
      <c r="L299">
        <f>IF(AND(B299&gt;=0.8,B299&lt;=1.5),1,IF(AND(B299&gt;=0.5,B299&lt;=2),0.5,0))</f>
        <v>0</v>
      </c>
      <c r="M299">
        <f>IF(AND(C299&gt;=0.5,C299&lt;=2),1,IF(AND(C299&gt;=0.1,C299&lt;=5),0.5,0))</f>
        <v>0</v>
      </c>
      <c r="N299">
        <f>IF(AND(G299&gt;=4,G299&lt;=7),1,IF(AND(G299&gt;=3,G299&lt;=8),0.5,0))</f>
        <v>0</v>
      </c>
      <c r="O299">
        <f>IF(AND(F299&gt;=270,F299&lt;=310),1,IF(AND(F299&gt;=250,F299&lt;=330),0.5,0))</f>
        <v>0</v>
      </c>
      <c r="P299">
        <f>IF(AND(E299&gt;=0.8,E299&lt;=1.5),1,IF(AND(E299&gt;=0.5,E299&lt;=2),0.5,0))</f>
        <v>0</v>
      </c>
      <c r="Q299">
        <f>IF(AND(H299&gt;=5000,H299&lt;=6000),1,IF(AND(H299&gt;=4000,H299&lt;5000),0.5,0))</f>
        <v>0</v>
      </c>
      <c r="R299">
        <f>0.35*AVERAGE(L299:M299:N299)+0.3*O299+0.2*P299+0.15*Q299</f>
        <v>0</v>
      </c>
      <c r="S299" t="str">
        <f>LEFT(K299,1)</f>
        <v/>
      </c>
      <c r="T299">
        <f>IF(S299="G",1,0)</f>
        <v>0</v>
      </c>
      <c r="U299">
        <f>IF(S299="K",1,0)</f>
        <v>0</v>
      </c>
      <c r="V299">
        <f>IF(S299="M",1,0)</f>
        <v>0</v>
      </c>
      <c r="W299">
        <f>IF(S299="F",1,0)</f>
        <v>0</v>
      </c>
    </row>
    <row r="300" spans="1:23" x14ac:dyDescent="0.3">
      <c r="A300" t="s">
        <v>464</v>
      </c>
      <c r="B300">
        <v>2.59987579</v>
      </c>
      <c r="C300">
        <v>8</v>
      </c>
      <c r="D300">
        <v>1.7727470999999999</v>
      </c>
      <c r="E300">
        <v>3.0890000000000001E-2</v>
      </c>
      <c r="F300">
        <v>2007.6</v>
      </c>
      <c r="G300">
        <f>IF(OR(C300="",B300="",B300=0),"",5.51*(C300/(B300^3)))</f>
        <v>2.5083248813924852</v>
      </c>
      <c r="H300">
        <v>6237</v>
      </c>
      <c r="I300">
        <v>3.675664062078142</v>
      </c>
      <c r="J300">
        <v>-0.13600000000000001</v>
      </c>
      <c r="L300">
        <f>IF(AND(B300&gt;=0.8,B300&lt;=1.5),1,IF(AND(B300&gt;=0.5,B300&lt;=2),0.5,0))</f>
        <v>0</v>
      </c>
      <c r="M300">
        <f>IF(AND(C300&gt;=0.5,C300&lt;=2),1,IF(AND(C300&gt;=0.1,C300&lt;=5),0.5,0))</f>
        <v>0</v>
      </c>
      <c r="N300">
        <f>IF(AND(G300&gt;=4,G300&lt;=7),1,IF(AND(G300&gt;=3,G300&lt;=8),0.5,0))</f>
        <v>0</v>
      </c>
      <c r="O300">
        <f>IF(AND(F300&gt;=270,F300&lt;=310),1,IF(AND(F300&gt;=250,F300&lt;=330),0.5,0))</f>
        <v>0</v>
      </c>
      <c r="P300">
        <f>IF(AND(E300&gt;=0.8,E300&lt;=1.5),1,IF(AND(E300&gt;=0.5,E300&lt;=2),0.5,0))</f>
        <v>0</v>
      </c>
      <c r="Q300">
        <f>IF(AND(H300&gt;=5000,H300&lt;=6000),1,IF(AND(H300&gt;=4000,H300&lt;5000),0.5,0))</f>
        <v>0</v>
      </c>
      <c r="R300">
        <f>0.35*AVERAGE(L300:M300:N300)+0.3*O300+0.2*P300+0.15*Q300</f>
        <v>0</v>
      </c>
      <c r="S300" t="str">
        <f>LEFT(K300,1)</f>
        <v/>
      </c>
      <c r="T300">
        <f>IF(S300="G",1,0)</f>
        <v>0</v>
      </c>
      <c r="U300">
        <f>IF(S300="K",1,0)</f>
        <v>0</v>
      </c>
      <c r="V300">
        <f>IF(S300="M",1,0)</f>
        <v>0</v>
      </c>
      <c r="W300">
        <f>IF(S300="F",1,0)</f>
        <v>0</v>
      </c>
    </row>
    <row r="301" spans="1:23" x14ac:dyDescent="0.3">
      <c r="A301" t="s">
        <v>463</v>
      </c>
      <c r="B301">
        <v>12.3485023</v>
      </c>
      <c r="C301">
        <v>89.4</v>
      </c>
      <c r="D301">
        <v>9.5739181000000002</v>
      </c>
      <c r="E301">
        <v>0.1</v>
      </c>
      <c r="F301">
        <v>1199.55</v>
      </c>
      <c r="G301">
        <f>IF(OR(C301="",B301="",B301=0),"",5.51*(C301/(B301^3)))</f>
        <v>0.26160513037906596</v>
      </c>
      <c r="H301">
        <v>6039</v>
      </c>
      <c r="I301">
        <v>4.9271680578969432</v>
      </c>
      <c r="J301">
        <v>0.33200000000000002</v>
      </c>
      <c r="L301">
        <f>IF(AND(B301&gt;=0.8,B301&lt;=1.5),1,IF(AND(B301&gt;=0.5,B301&lt;=2),0.5,0))</f>
        <v>0</v>
      </c>
      <c r="M301">
        <f>IF(AND(C301&gt;=0.5,C301&lt;=2),1,IF(AND(C301&gt;=0.1,C301&lt;=5),0.5,0))</f>
        <v>0</v>
      </c>
      <c r="N301">
        <f>IF(AND(G301&gt;=4,G301&lt;=7),1,IF(AND(G301&gt;=3,G301&lt;=8),0.5,0))</f>
        <v>0</v>
      </c>
      <c r="O301">
        <f>IF(AND(F301&gt;=270,F301&lt;=310),1,IF(AND(F301&gt;=250,F301&lt;=330),0.5,0))</f>
        <v>0</v>
      </c>
      <c r="P301">
        <f>IF(AND(E301&gt;=0.8,E301&lt;=1.5),1,IF(AND(E301&gt;=0.5,E301&lt;=2),0.5,0))</f>
        <v>0</v>
      </c>
      <c r="Q301">
        <f>IF(AND(H301&gt;=5000,H301&lt;=6000),1,IF(AND(H301&gt;=4000,H301&lt;5000),0.5,0))</f>
        <v>0</v>
      </c>
      <c r="R301">
        <f>0.35*AVERAGE(L301:M301:N301)+0.3*O301+0.2*P301+0.15*Q301</f>
        <v>0</v>
      </c>
      <c r="S301" t="str">
        <f>LEFT(K301,1)</f>
        <v/>
      </c>
      <c r="T301">
        <f>IF(S301="G",1,0)</f>
        <v>0</v>
      </c>
      <c r="U301">
        <f>IF(S301="K",1,0)</f>
        <v>0</v>
      </c>
      <c r="V301">
        <f>IF(S301="M",1,0)</f>
        <v>0</v>
      </c>
      <c r="W301">
        <f>IF(S301="F",1,0)</f>
        <v>0</v>
      </c>
    </row>
    <row r="302" spans="1:23" x14ac:dyDescent="0.3">
      <c r="A302" t="s">
        <v>462</v>
      </c>
      <c r="B302">
        <v>1.792</v>
      </c>
      <c r="D302">
        <v>3.9306736999999998</v>
      </c>
      <c r="E302">
        <v>3.6459999999999999E-2</v>
      </c>
      <c r="F302">
        <v>568.1</v>
      </c>
      <c r="G302" t="str">
        <f>IF(OR(C302="",B302="",B302=0),"",5.51*(C302/(B302^3)))</f>
        <v/>
      </c>
      <c r="H302">
        <v>3568</v>
      </c>
      <c r="I302">
        <v>2.2917658640831364E-2</v>
      </c>
      <c r="J302">
        <v>0.16900000000000001</v>
      </c>
      <c r="L302">
        <f>IF(AND(B302&gt;=0.8,B302&lt;=1.5),1,IF(AND(B302&gt;=0.5,B302&lt;=2),0.5,0))</f>
        <v>0.5</v>
      </c>
      <c r="M302">
        <f>IF(AND(C302&gt;=0.5,C302&lt;=2),1,IF(AND(C302&gt;=0.1,C302&lt;=5),0.5,0))</f>
        <v>0</v>
      </c>
      <c r="N302">
        <f>IF(AND(G302&gt;=4,G302&lt;=7),1,IF(AND(G302&gt;=3,G302&lt;=8),0.5,0))</f>
        <v>0</v>
      </c>
      <c r="O302">
        <f>IF(AND(F302&gt;=270,F302&lt;=310),1,IF(AND(F302&gt;=250,F302&lt;=330),0.5,0))</f>
        <v>0</v>
      </c>
      <c r="P302">
        <f>IF(AND(E302&gt;=0.8,E302&lt;=1.5),1,IF(AND(E302&gt;=0.5,E302&lt;=2),0.5,0))</f>
        <v>0</v>
      </c>
      <c r="Q302">
        <f>IF(AND(H302&gt;=5000,H302&lt;=6000),1,IF(AND(H302&gt;=4000,H302&lt;5000),0.5,0))</f>
        <v>0</v>
      </c>
      <c r="R302">
        <f>0.35*AVERAGE(L302:M302:N302)+0.3*O302+0.2*P302+0.15*Q302</f>
        <v>5.8333333333333327E-2</v>
      </c>
      <c r="S302" t="str">
        <f>LEFT(K302,1)</f>
        <v/>
      </c>
      <c r="T302">
        <f>IF(S302="G",1,0)</f>
        <v>0</v>
      </c>
      <c r="U302">
        <f>IF(S302="K",1,0)</f>
        <v>0</v>
      </c>
      <c r="V302">
        <f>IF(S302="M",1,0)</f>
        <v>0</v>
      </c>
      <c r="W302">
        <f>IF(S302="F",1,0)</f>
        <v>0</v>
      </c>
    </row>
    <row r="303" spans="1:23" x14ac:dyDescent="0.3">
      <c r="A303" t="s">
        <v>461</v>
      </c>
      <c r="B303">
        <v>3.46</v>
      </c>
      <c r="C303">
        <v>73.2</v>
      </c>
      <c r="D303">
        <v>1.2436258</v>
      </c>
      <c r="E303">
        <v>2.1299999999999999E-2</v>
      </c>
      <c r="F303">
        <v>1479</v>
      </c>
      <c r="G303">
        <f>IF(OR(C303="",B303="",B303=0),"",5.51*(C303/(B303^3)))</f>
        <v>9.7372065719312193</v>
      </c>
      <c r="H303">
        <v>4985</v>
      </c>
      <c r="I303">
        <v>0.36172058297258708</v>
      </c>
      <c r="J303">
        <v>0.11</v>
      </c>
      <c r="K303" t="s">
        <v>460</v>
      </c>
      <c r="L303">
        <f>IF(AND(B303&gt;=0.8,B303&lt;=1.5),1,IF(AND(B303&gt;=0.5,B303&lt;=2),0.5,0))</f>
        <v>0</v>
      </c>
      <c r="M303">
        <f>IF(AND(C303&gt;=0.5,C303&lt;=2),1,IF(AND(C303&gt;=0.1,C303&lt;=5),0.5,0))</f>
        <v>0</v>
      </c>
      <c r="N303">
        <f>IF(AND(G303&gt;=4,G303&lt;=7),1,IF(AND(G303&gt;=3,G303&lt;=8),0.5,0))</f>
        <v>0</v>
      </c>
      <c r="O303">
        <f>IF(AND(F303&gt;=270,F303&lt;=310),1,IF(AND(F303&gt;=250,F303&lt;=330),0.5,0))</f>
        <v>0</v>
      </c>
      <c r="P303">
        <f>IF(AND(E303&gt;=0.8,E303&lt;=1.5),1,IF(AND(E303&gt;=0.5,E303&lt;=2),0.5,0))</f>
        <v>0</v>
      </c>
      <c r="Q303">
        <f>IF(AND(H303&gt;=5000,H303&lt;=6000),1,IF(AND(H303&gt;=4000,H303&lt;5000),0.5,0))</f>
        <v>0.5</v>
      </c>
      <c r="R303">
        <f>0.35*AVERAGE(L303:M303:N303)+0.3*O303+0.2*P303+0.15*Q303</f>
        <v>7.4999999999999997E-2</v>
      </c>
      <c r="S303" t="str">
        <f>LEFT(K303,1)</f>
        <v>K</v>
      </c>
      <c r="T303">
        <f>IF(S303="G",1,0)</f>
        <v>0</v>
      </c>
      <c r="U303">
        <f>IF(S303="K",1,0)</f>
        <v>1</v>
      </c>
      <c r="V303">
        <f>IF(S303="M",1,0)</f>
        <v>0</v>
      </c>
      <c r="W303">
        <f>IF(S303="F",1,0)</f>
        <v>0</v>
      </c>
    </row>
    <row r="304" spans="1:23" x14ac:dyDescent="0.3">
      <c r="A304" t="s">
        <v>459</v>
      </c>
      <c r="B304">
        <v>18.494818160000001</v>
      </c>
      <c r="C304">
        <v>360.09958512999998</v>
      </c>
      <c r="D304">
        <v>1.36414864</v>
      </c>
      <c r="E304">
        <v>2.3980000000000001E-2</v>
      </c>
      <c r="F304">
        <v>1701</v>
      </c>
      <c r="G304">
        <f>IF(OR(C304="",B304="",B304=0),"",5.51*(C304/(B304^3)))</f>
        <v>0.31363463967877786</v>
      </c>
      <c r="H304">
        <v>5359</v>
      </c>
      <c r="I304">
        <v>0.80191130711790182</v>
      </c>
      <c r="J304">
        <v>0.39900000000000002</v>
      </c>
      <c r="L304">
        <f>IF(AND(B304&gt;=0.8,B304&lt;=1.5),1,IF(AND(B304&gt;=0.5,B304&lt;=2),0.5,0))</f>
        <v>0</v>
      </c>
      <c r="M304">
        <f>IF(AND(C304&gt;=0.5,C304&lt;=2),1,IF(AND(C304&gt;=0.1,C304&lt;=5),0.5,0))</f>
        <v>0</v>
      </c>
      <c r="N304">
        <f>IF(AND(G304&gt;=4,G304&lt;=7),1,IF(AND(G304&gt;=3,G304&lt;=8),0.5,0))</f>
        <v>0</v>
      </c>
      <c r="O304">
        <f>IF(AND(F304&gt;=270,F304&lt;=310),1,IF(AND(F304&gt;=250,F304&lt;=330),0.5,0))</f>
        <v>0</v>
      </c>
      <c r="P304">
        <f>IF(AND(E304&gt;=0.8,E304&lt;=1.5),1,IF(AND(E304&gt;=0.5,E304&lt;=2),0.5,0))</f>
        <v>0</v>
      </c>
      <c r="Q304">
        <f>IF(AND(H304&gt;=5000,H304&lt;=6000),1,IF(AND(H304&gt;=4000,H304&lt;5000),0.5,0))</f>
        <v>1</v>
      </c>
      <c r="R304">
        <f>0.35*AVERAGE(L304:M304:N304)+0.3*O304+0.2*P304+0.15*Q304</f>
        <v>0.15</v>
      </c>
      <c r="S304" t="str">
        <f>LEFT(K304,1)</f>
        <v/>
      </c>
      <c r="T304">
        <f>IF(S304="G",1,0)</f>
        <v>0</v>
      </c>
      <c r="U304">
        <f>IF(S304="K",1,0)</f>
        <v>0</v>
      </c>
      <c r="V304">
        <f>IF(S304="M",1,0)</f>
        <v>0</v>
      </c>
      <c r="W304">
        <f>IF(S304="F",1,0)</f>
        <v>0</v>
      </c>
    </row>
    <row r="305" spans="1:23" x14ac:dyDescent="0.3">
      <c r="A305" t="s">
        <v>458</v>
      </c>
      <c r="B305">
        <v>9.7518132099999999</v>
      </c>
      <c r="D305">
        <v>63.483469999999997</v>
      </c>
      <c r="E305">
        <v>0.33700000000000002</v>
      </c>
      <c r="G305" t="str">
        <f>IF(OR(C305="",B305="",B305=0),"",5.51*(C305/(B305^3)))</f>
        <v/>
      </c>
      <c r="H305">
        <v>6341</v>
      </c>
      <c r="I305">
        <v>2.6828641329607184</v>
      </c>
      <c r="J305">
        <v>0.12</v>
      </c>
      <c r="L305">
        <f>IF(AND(B305&gt;=0.8,B305&lt;=1.5),1,IF(AND(B305&gt;=0.5,B305&lt;=2),0.5,0))</f>
        <v>0</v>
      </c>
      <c r="M305">
        <f>IF(AND(C305&gt;=0.5,C305&lt;=2),1,IF(AND(C305&gt;=0.1,C305&lt;=5),0.5,0))</f>
        <v>0</v>
      </c>
      <c r="N305">
        <f>IF(AND(G305&gt;=4,G305&lt;=7),1,IF(AND(G305&gt;=3,G305&lt;=8),0.5,0))</f>
        <v>0</v>
      </c>
      <c r="O305">
        <f>IF(AND(F305&gt;=270,F305&lt;=310),1,IF(AND(F305&gt;=250,F305&lt;=330),0.5,0))</f>
        <v>0</v>
      </c>
      <c r="P305">
        <f>IF(AND(E305&gt;=0.8,E305&lt;=1.5),1,IF(AND(E305&gt;=0.5,E305&lt;=2),0.5,0))</f>
        <v>0</v>
      </c>
      <c r="Q305">
        <f>IF(AND(H305&gt;=5000,H305&lt;=6000),1,IF(AND(H305&gt;=4000,H305&lt;5000),0.5,0))</f>
        <v>0</v>
      </c>
      <c r="R305">
        <f>0.35*AVERAGE(L305:M305:N305)+0.3*O305+0.2*P305+0.15*Q305</f>
        <v>0</v>
      </c>
      <c r="S305" t="str">
        <f>LEFT(K305,1)</f>
        <v/>
      </c>
      <c r="T305">
        <f>IF(S305="G",1,0)</f>
        <v>0</v>
      </c>
      <c r="U305">
        <f>IF(S305="K",1,0)</f>
        <v>0</v>
      </c>
      <c r="V305">
        <f>IF(S305="M",1,0)</f>
        <v>0</v>
      </c>
      <c r="W305">
        <f>IF(S305="F",1,0)</f>
        <v>0</v>
      </c>
    </row>
    <row r="306" spans="1:23" x14ac:dyDescent="0.3">
      <c r="A306" t="s">
        <v>457</v>
      </c>
      <c r="B306">
        <v>1.31</v>
      </c>
      <c r="D306">
        <v>1.0662107000000001</v>
      </c>
      <c r="E306">
        <v>2.0400000000000001E-2</v>
      </c>
      <c r="F306">
        <v>1885</v>
      </c>
      <c r="G306" t="str">
        <f>IF(OR(C306="",B306="",B306=0),"",5.51*(C306/(B306^3)))</f>
        <v/>
      </c>
      <c r="H306">
        <v>5752</v>
      </c>
      <c r="I306">
        <v>0.86780283916899958</v>
      </c>
      <c r="J306">
        <v>0.04</v>
      </c>
      <c r="K306" t="s">
        <v>12</v>
      </c>
      <c r="L306">
        <f>IF(AND(B306&gt;=0.8,B306&lt;=1.5),1,IF(AND(B306&gt;=0.5,B306&lt;=2),0.5,0))</f>
        <v>1</v>
      </c>
      <c r="M306">
        <f>IF(AND(C306&gt;=0.5,C306&lt;=2),1,IF(AND(C306&gt;=0.1,C306&lt;=5),0.5,0))</f>
        <v>0</v>
      </c>
      <c r="N306">
        <f>IF(AND(G306&gt;=4,G306&lt;=7),1,IF(AND(G306&gt;=3,G306&lt;=8),0.5,0))</f>
        <v>0</v>
      </c>
      <c r="O306">
        <f>IF(AND(F306&gt;=270,F306&lt;=310),1,IF(AND(F306&gt;=250,F306&lt;=330),0.5,0))</f>
        <v>0</v>
      </c>
      <c r="P306">
        <f>IF(AND(E306&gt;=0.8,E306&lt;=1.5),1,IF(AND(E306&gt;=0.5,E306&lt;=2),0.5,0))</f>
        <v>0</v>
      </c>
      <c r="Q306">
        <f>IF(AND(H306&gt;=5000,H306&lt;=6000),1,IF(AND(H306&gt;=4000,H306&lt;5000),0.5,0))</f>
        <v>1</v>
      </c>
      <c r="R306">
        <f>0.35*AVERAGE(L306:M306:N306)+0.3*O306+0.2*P306+0.15*Q306</f>
        <v>0.26666666666666666</v>
      </c>
      <c r="S306" t="str">
        <f>LEFT(K306,1)</f>
        <v>G</v>
      </c>
      <c r="T306">
        <f>IF(S306="G",1,0)</f>
        <v>1</v>
      </c>
      <c r="U306">
        <f>IF(S306="K",1,0)</f>
        <v>0</v>
      </c>
      <c r="V306">
        <f>IF(S306="M",1,0)</f>
        <v>0</v>
      </c>
      <c r="W306">
        <f>IF(S306="F",1,0)</f>
        <v>0</v>
      </c>
    </row>
    <row r="307" spans="1:23" x14ac:dyDescent="0.3">
      <c r="A307" t="s">
        <v>456</v>
      </c>
      <c r="B307">
        <v>5.65</v>
      </c>
      <c r="D307">
        <v>4.5063800000000001</v>
      </c>
      <c r="E307">
        <v>4.6800000000000001E-2</v>
      </c>
      <c r="F307">
        <v>524.91999999999996</v>
      </c>
      <c r="G307" t="str">
        <f>IF(OR(C307="",B307="",B307=0),"",5.51*(C307/(B307^3)))</f>
        <v/>
      </c>
      <c r="H307">
        <v>3477</v>
      </c>
      <c r="I307">
        <v>3.200092342198587E-2</v>
      </c>
      <c r="K307" t="s">
        <v>157</v>
      </c>
      <c r="L307">
        <f>IF(AND(B307&gt;=0.8,B307&lt;=1.5),1,IF(AND(B307&gt;=0.5,B307&lt;=2),0.5,0))</f>
        <v>0</v>
      </c>
      <c r="M307">
        <f>IF(AND(C307&gt;=0.5,C307&lt;=2),1,IF(AND(C307&gt;=0.1,C307&lt;=5),0.5,0))</f>
        <v>0</v>
      </c>
      <c r="N307">
        <f>IF(AND(G307&gt;=4,G307&lt;=7),1,IF(AND(G307&gt;=3,G307&lt;=8),0.5,0))</f>
        <v>0</v>
      </c>
      <c r="O307">
        <f>IF(AND(F307&gt;=270,F307&lt;=310),1,IF(AND(F307&gt;=250,F307&lt;=330),0.5,0))</f>
        <v>0</v>
      </c>
      <c r="P307">
        <f>IF(AND(E307&gt;=0.8,E307&lt;=1.5),1,IF(AND(E307&gt;=0.5,E307&lt;=2),0.5,0))</f>
        <v>0</v>
      </c>
      <c r="Q307">
        <f>IF(AND(H307&gt;=5000,H307&lt;=6000),1,IF(AND(H307&gt;=4000,H307&lt;5000),0.5,0))</f>
        <v>0</v>
      </c>
      <c r="R307">
        <f>0.35*AVERAGE(L307:M307:N307)+0.3*O307+0.2*P307+0.15*Q307</f>
        <v>0</v>
      </c>
      <c r="S307" t="str">
        <f>LEFT(K307,1)</f>
        <v>M</v>
      </c>
      <c r="T307">
        <f>IF(S307="G",1,0)</f>
        <v>0</v>
      </c>
      <c r="U307">
        <f>IF(S307="K",1,0)</f>
        <v>0</v>
      </c>
      <c r="V307">
        <f>IF(S307="M",1,0)</f>
        <v>1</v>
      </c>
      <c r="W307">
        <f>IF(S307="F",1,0)</f>
        <v>0</v>
      </c>
    </row>
    <row r="308" spans="1:23" x14ac:dyDescent="0.3">
      <c r="A308" t="s">
        <v>455</v>
      </c>
      <c r="B308">
        <v>9.3955323100000001</v>
      </c>
      <c r="C308">
        <v>129</v>
      </c>
      <c r="D308">
        <v>45.52234</v>
      </c>
      <c r="E308">
        <v>0.26900000000000002</v>
      </c>
      <c r="F308">
        <v>674.54</v>
      </c>
      <c r="G308">
        <f>IF(OR(C308="",B308="",B308=0),"",5.51*(C308/(B308^3)))</f>
        <v>0.85699273056812653</v>
      </c>
      <c r="H308">
        <v>6241</v>
      </c>
      <c r="I308">
        <v>3.5418418294082872</v>
      </c>
      <c r="J308">
        <v>-9.5000000000000001E-2</v>
      </c>
      <c r="L308">
        <f>IF(AND(B308&gt;=0.8,B308&lt;=1.5),1,IF(AND(B308&gt;=0.5,B308&lt;=2),0.5,0))</f>
        <v>0</v>
      </c>
      <c r="M308">
        <f>IF(AND(C308&gt;=0.5,C308&lt;=2),1,IF(AND(C308&gt;=0.1,C308&lt;=5),0.5,0))</f>
        <v>0</v>
      </c>
      <c r="N308">
        <f>IF(AND(G308&gt;=4,G308&lt;=7),1,IF(AND(G308&gt;=3,G308&lt;=8),0.5,0))</f>
        <v>0</v>
      </c>
      <c r="O308">
        <f>IF(AND(F308&gt;=270,F308&lt;=310),1,IF(AND(F308&gt;=250,F308&lt;=330),0.5,0))</f>
        <v>0</v>
      </c>
      <c r="P308">
        <f>IF(AND(E308&gt;=0.8,E308&lt;=1.5),1,IF(AND(E308&gt;=0.5,E308&lt;=2),0.5,0))</f>
        <v>0</v>
      </c>
      <c r="Q308">
        <f>IF(AND(H308&gt;=5000,H308&lt;=6000),1,IF(AND(H308&gt;=4000,H308&lt;5000),0.5,0))</f>
        <v>0</v>
      </c>
      <c r="R308">
        <f>0.35*AVERAGE(L308:M308:N308)+0.3*O308+0.2*P308+0.15*Q308</f>
        <v>0</v>
      </c>
      <c r="S308" t="str">
        <f>LEFT(K308,1)</f>
        <v/>
      </c>
      <c r="T308">
        <f>IF(S308="G",1,0)</f>
        <v>0</v>
      </c>
      <c r="U308">
        <f>IF(S308="K",1,0)</f>
        <v>0</v>
      </c>
      <c r="V308">
        <f>IF(S308="M",1,0)</f>
        <v>0</v>
      </c>
      <c r="W308">
        <f>IF(S308="F",1,0)</f>
        <v>0</v>
      </c>
    </row>
    <row r="309" spans="1:23" x14ac:dyDescent="0.3">
      <c r="A309" t="s">
        <v>454</v>
      </c>
      <c r="B309">
        <v>11.096890889999999</v>
      </c>
      <c r="C309">
        <v>212.94503269000001</v>
      </c>
      <c r="D309">
        <v>29.090312000000001</v>
      </c>
      <c r="E309">
        <v>0.1525</v>
      </c>
      <c r="F309">
        <v>378</v>
      </c>
      <c r="G309">
        <f>IF(OR(C309="",B309="",B309=0),"",5.51*(C309/(B309^3)))</f>
        <v>0.85864800483075132</v>
      </c>
      <c r="H309">
        <v>3926</v>
      </c>
      <c r="I309">
        <v>7.8535934028809359E-2</v>
      </c>
      <c r="J309">
        <v>0.28000000000000003</v>
      </c>
      <c r="L309">
        <f>IF(AND(B309&gt;=0.8,B309&lt;=1.5),1,IF(AND(B309&gt;=0.5,B309&lt;=2),0.5,0))</f>
        <v>0</v>
      </c>
      <c r="M309">
        <f>IF(AND(C309&gt;=0.5,C309&lt;=2),1,IF(AND(C309&gt;=0.1,C309&lt;=5),0.5,0))</f>
        <v>0</v>
      </c>
      <c r="N309">
        <f>IF(AND(G309&gt;=4,G309&lt;=7),1,IF(AND(G309&gt;=3,G309&lt;=8),0.5,0))</f>
        <v>0</v>
      </c>
      <c r="O309">
        <f>IF(AND(F309&gt;=270,F309&lt;=310),1,IF(AND(F309&gt;=250,F309&lt;=330),0.5,0))</f>
        <v>0</v>
      </c>
      <c r="P309">
        <f>IF(AND(E309&gt;=0.8,E309&lt;=1.5),1,IF(AND(E309&gt;=0.5,E309&lt;=2),0.5,0))</f>
        <v>0</v>
      </c>
      <c r="Q309">
        <f>IF(AND(H309&gt;=5000,H309&lt;=6000),1,IF(AND(H309&gt;=4000,H309&lt;5000),0.5,0))</f>
        <v>0</v>
      </c>
      <c r="R309">
        <f>0.35*AVERAGE(L309:M309:N309)+0.3*O309+0.2*P309+0.15*Q309</f>
        <v>0</v>
      </c>
      <c r="S309" t="str">
        <f>LEFT(K309,1)</f>
        <v/>
      </c>
      <c r="T309">
        <f>IF(S309="G",1,0)</f>
        <v>0</v>
      </c>
      <c r="U309">
        <f>IF(S309="K",1,0)</f>
        <v>0</v>
      </c>
      <c r="V309">
        <f>IF(S309="M",1,0)</f>
        <v>0</v>
      </c>
      <c r="W309">
        <f>IF(S309="F",1,0)</f>
        <v>0</v>
      </c>
    </row>
    <row r="310" spans="1:23" x14ac:dyDescent="0.3">
      <c r="A310" t="s">
        <v>453</v>
      </c>
      <c r="B310">
        <v>13.977598929999999</v>
      </c>
      <c r="C310">
        <v>638.83509806999996</v>
      </c>
      <c r="D310">
        <v>0.94667944000000004</v>
      </c>
      <c r="E310">
        <v>1.932E-2</v>
      </c>
      <c r="F310">
        <v>2097</v>
      </c>
      <c r="G310">
        <f>IF(OR(C310="",B310="",B310=0),"",5.51*(C310/(B310^3)))</f>
        <v>1.2889695061029427</v>
      </c>
      <c r="H310">
        <v>5814</v>
      </c>
      <c r="I310">
        <v>1.1957419634684425</v>
      </c>
      <c r="J310">
        <v>0.19600000000000001</v>
      </c>
      <c r="L310">
        <f>IF(AND(B310&gt;=0.8,B310&lt;=1.5),1,IF(AND(B310&gt;=0.5,B310&lt;=2),0.5,0))</f>
        <v>0</v>
      </c>
      <c r="M310">
        <f>IF(AND(C310&gt;=0.5,C310&lt;=2),1,IF(AND(C310&gt;=0.1,C310&lt;=5),0.5,0))</f>
        <v>0</v>
      </c>
      <c r="N310">
        <f>IF(AND(G310&gt;=4,G310&lt;=7),1,IF(AND(G310&gt;=3,G310&lt;=8),0.5,0))</f>
        <v>0</v>
      </c>
      <c r="O310">
        <f>IF(AND(F310&gt;=270,F310&lt;=310),1,IF(AND(F310&gt;=250,F310&lt;=330),0.5,0))</f>
        <v>0</v>
      </c>
      <c r="P310">
        <f>IF(AND(E310&gt;=0.8,E310&lt;=1.5),1,IF(AND(E310&gt;=0.5,E310&lt;=2),0.5,0))</f>
        <v>0</v>
      </c>
      <c r="Q310">
        <f>IF(AND(H310&gt;=5000,H310&lt;=6000),1,IF(AND(H310&gt;=4000,H310&lt;5000),0.5,0))</f>
        <v>1</v>
      </c>
      <c r="R310">
        <f>0.35*AVERAGE(L310:M310:N310)+0.3*O310+0.2*P310+0.15*Q310</f>
        <v>0.15</v>
      </c>
      <c r="S310" t="str">
        <f>LEFT(K310,1)</f>
        <v/>
      </c>
      <c r="T310">
        <f>IF(S310="G",1,0)</f>
        <v>0</v>
      </c>
      <c r="U310">
        <f>IF(S310="K",1,0)</f>
        <v>0</v>
      </c>
      <c r="V310">
        <f>IF(S310="M",1,0)</f>
        <v>0</v>
      </c>
      <c r="W310">
        <f>IF(S310="F",1,0)</f>
        <v>0</v>
      </c>
    </row>
    <row r="311" spans="1:23" x14ac:dyDescent="0.3">
      <c r="A311" t="s">
        <v>452</v>
      </c>
      <c r="B311">
        <v>1.44</v>
      </c>
      <c r="D311">
        <v>10.215199999999999</v>
      </c>
      <c r="E311">
        <v>0.1</v>
      </c>
      <c r="F311">
        <v>368</v>
      </c>
      <c r="G311" t="str">
        <f>IF(OR(C311="",B311="",B311=0),"",5.51*(C311/(B311^3)))</f>
        <v/>
      </c>
      <c r="H311">
        <v>3650</v>
      </c>
      <c r="I311">
        <v>3.0969806132366919E-2</v>
      </c>
      <c r="J311">
        <v>-0.7</v>
      </c>
      <c r="K311" t="s">
        <v>96</v>
      </c>
      <c r="L311">
        <f>IF(AND(B311&gt;=0.8,B311&lt;=1.5),1,IF(AND(B311&gt;=0.5,B311&lt;=2),0.5,0))</f>
        <v>1</v>
      </c>
      <c r="M311">
        <f>IF(AND(C311&gt;=0.5,C311&lt;=2),1,IF(AND(C311&gt;=0.1,C311&lt;=5),0.5,0))</f>
        <v>0</v>
      </c>
      <c r="N311">
        <f>IF(AND(G311&gt;=4,G311&lt;=7),1,IF(AND(G311&gt;=3,G311&lt;=8),0.5,0))</f>
        <v>0</v>
      </c>
      <c r="O311">
        <f>IF(AND(F311&gt;=270,F311&lt;=310),1,IF(AND(F311&gt;=250,F311&lt;=330),0.5,0))</f>
        <v>0</v>
      </c>
      <c r="P311">
        <f>IF(AND(E311&gt;=0.8,E311&lt;=1.5),1,IF(AND(E311&gt;=0.5,E311&lt;=2),0.5,0))</f>
        <v>0</v>
      </c>
      <c r="Q311">
        <f>IF(AND(H311&gt;=5000,H311&lt;=6000),1,IF(AND(H311&gt;=4000,H311&lt;5000),0.5,0))</f>
        <v>0</v>
      </c>
      <c r="R311">
        <f>0.35*AVERAGE(L311:M311:N311)+0.3*O311+0.2*P311+0.15*Q311</f>
        <v>0.11666666666666665</v>
      </c>
      <c r="S311" t="str">
        <f>LEFT(K311,1)</f>
        <v>M</v>
      </c>
      <c r="T311">
        <f>IF(S311="G",1,0)</f>
        <v>0</v>
      </c>
      <c r="U311">
        <f>IF(S311="K",1,0)</f>
        <v>0</v>
      </c>
      <c r="V311">
        <f>IF(S311="M",1,0)</f>
        <v>1</v>
      </c>
      <c r="W311">
        <f>IF(S311="F",1,0)</f>
        <v>0</v>
      </c>
    </row>
    <row r="312" spans="1:23" x14ac:dyDescent="0.3">
      <c r="A312" t="s">
        <v>451</v>
      </c>
      <c r="B312">
        <v>9.0792743700000003</v>
      </c>
      <c r="C312">
        <v>54.030829189999999</v>
      </c>
      <c r="D312">
        <v>104.854</v>
      </c>
      <c r="E312">
        <v>0.4254</v>
      </c>
      <c r="G312">
        <f>IF(OR(C312="",B312="",B312=0),"",5.51*(C312/(B312^3)))</f>
        <v>0.39777713019857619</v>
      </c>
      <c r="H312">
        <v>5255</v>
      </c>
      <c r="I312">
        <v>0.46005360287064401</v>
      </c>
      <c r="J312">
        <v>0.22</v>
      </c>
      <c r="K312" t="s">
        <v>241</v>
      </c>
      <c r="L312">
        <f>IF(AND(B312&gt;=0.8,B312&lt;=1.5),1,IF(AND(B312&gt;=0.5,B312&lt;=2),0.5,0))</f>
        <v>0</v>
      </c>
      <c r="M312">
        <f>IF(AND(C312&gt;=0.5,C312&lt;=2),1,IF(AND(C312&gt;=0.1,C312&lt;=5),0.5,0))</f>
        <v>0</v>
      </c>
      <c r="N312">
        <f>IF(AND(G312&gt;=4,G312&lt;=7),1,IF(AND(G312&gt;=3,G312&lt;=8),0.5,0))</f>
        <v>0</v>
      </c>
      <c r="O312">
        <f>IF(AND(F312&gt;=270,F312&lt;=310),1,IF(AND(F312&gt;=250,F312&lt;=330),0.5,0))</f>
        <v>0</v>
      </c>
      <c r="P312">
        <f>IF(AND(E312&gt;=0.8,E312&lt;=1.5),1,IF(AND(E312&gt;=0.5,E312&lt;=2),0.5,0))</f>
        <v>0</v>
      </c>
      <c r="Q312">
        <f>IF(AND(H312&gt;=5000,H312&lt;=6000),1,IF(AND(H312&gt;=4000,H312&lt;5000),0.5,0))</f>
        <v>1</v>
      </c>
      <c r="R312">
        <f>0.35*AVERAGE(L312:M312:N312)+0.3*O312+0.2*P312+0.15*Q312</f>
        <v>0.15</v>
      </c>
      <c r="S312" t="str">
        <f>LEFT(K312,1)</f>
        <v>G</v>
      </c>
      <c r="T312">
        <f>IF(S312="G",1,0)</f>
        <v>1</v>
      </c>
      <c r="U312">
        <f>IF(S312="K",1,0)</f>
        <v>0</v>
      </c>
      <c r="V312">
        <f>IF(S312="M",1,0)</f>
        <v>0</v>
      </c>
      <c r="W312">
        <f>IF(S312="F",1,0)</f>
        <v>0</v>
      </c>
    </row>
    <row r="313" spans="1:23" x14ac:dyDescent="0.3">
      <c r="A313" t="s">
        <v>450</v>
      </c>
      <c r="B313">
        <v>13.67495645</v>
      </c>
      <c r="C313">
        <v>7024.0077947</v>
      </c>
      <c r="D313">
        <v>4.0337142000000004</v>
      </c>
      <c r="E313">
        <v>6.13E-2</v>
      </c>
      <c r="F313">
        <v>2290</v>
      </c>
      <c r="G313">
        <f>IF(OR(C313="",B313="",B313=0),"",5.51*(C313/(B313^3)))</f>
        <v>15.134174177485537</v>
      </c>
      <c r="H313">
        <v>7700</v>
      </c>
      <c r="I313">
        <v>16.684316611900091</v>
      </c>
      <c r="J313">
        <v>-0.01</v>
      </c>
      <c r="L313">
        <f>IF(AND(B313&gt;=0.8,B313&lt;=1.5),1,IF(AND(B313&gt;=0.5,B313&lt;=2),0.5,0))</f>
        <v>0</v>
      </c>
      <c r="M313">
        <f>IF(AND(C313&gt;=0.5,C313&lt;=2),1,IF(AND(C313&gt;=0.1,C313&lt;=5),0.5,0))</f>
        <v>0</v>
      </c>
      <c r="N313">
        <f>IF(AND(G313&gt;=4,G313&lt;=7),1,IF(AND(G313&gt;=3,G313&lt;=8),0.5,0))</f>
        <v>0</v>
      </c>
      <c r="O313">
        <f>IF(AND(F313&gt;=270,F313&lt;=310),1,IF(AND(F313&gt;=250,F313&lt;=330),0.5,0))</f>
        <v>0</v>
      </c>
      <c r="P313">
        <f>IF(AND(E313&gt;=0.8,E313&lt;=1.5),1,IF(AND(E313&gt;=0.5,E313&lt;=2),0.5,0))</f>
        <v>0</v>
      </c>
      <c r="Q313">
        <f>IF(AND(H313&gt;=5000,H313&lt;=6000),1,IF(AND(H313&gt;=4000,H313&lt;5000),0.5,0))</f>
        <v>0</v>
      </c>
      <c r="R313">
        <f>0.35*AVERAGE(L313:M313:N313)+0.3*O313+0.2*P313+0.15*Q313</f>
        <v>0</v>
      </c>
      <c r="S313" t="str">
        <f>LEFT(K313,1)</f>
        <v/>
      </c>
      <c r="T313">
        <f>IF(S313="G",1,0)</f>
        <v>0</v>
      </c>
      <c r="U313">
        <f>IF(S313="K",1,0)</f>
        <v>0</v>
      </c>
      <c r="V313">
        <f>IF(S313="M",1,0)</f>
        <v>0</v>
      </c>
      <c r="W313">
        <f>IF(S313="F",1,0)</f>
        <v>0</v>
      </c>
    </row>
    <row r="314" spans="1:23" x14ac:dyDescent="0.3">
      <c r="A314" t="s">
        <v>449</v>
      </c>
      <c r="B314">
        <v>2.7</v>
      </c>
      <c r="C314">
        <v>11</v>
      </c>
      <c r="D314">
        <v>3.0983299999999998</v>
      </c>
      <c r="E314">
        <v>4.2709999999999998E-2</v>
      </c>
      <c r="F314">
        <v>1488</v>
      </c>
      <c r="G314">
        <f>IF(OR(C314="",B314="",B314=0),"",5.51*(C314/(B314^3)))</f>
        <v>3.0793070162068785</v>
      </c>
      <c r="H314">
        <v>5611</v>
      </c>
      <c r="I314">
        <v>1.1436076027286948</v>
      </c>
      <c r="J314">
        <v>0.439</v>
      </c>
      <c r="L314">
        <f>IF(AND(B314&gt;=0.8,B314&lt;=1.5),1,IF(AND(B314&gt;=0.5,B314&lt;=2),0.5,0))</f>
        <v>0</v>
      </c>
      <c r="M314">
        <f>IF(AND(C314&gt;=0.5,C314&lt;=2),1,IF(AND(C314&gt;=0.1,C314&lt;=5),0.5,0))</f>
        <v>0</v>
      </c>
      <c r="N314">
        <f>IF(AND(G314&gt;=4,G314&lt;=7),1,IF(AND(G314&gt;=3,G314&lt;=8),0.5,0))</f>
        <v>0.5</v>
      </c>
      <c r="O314">
        <f>IF(AND(F314&gt;=270,F314&lt;=310),1,IF(AND(F314&gt;=250,F314&lt;=330),0.5,0))</f>
        <v>0</v>
      </c>
      <c r="P314">
        <f>IF(AND(E314&gt;=0.8,E314&lt;=1.5),1,IF(AND(E314&gt;=0.5,E314&lt;=2),0.5,0))</f>
        <v>0</v>
      </c>
      <c r="Q314">
        <f>IF(AND(H314&gt;=5000,H314&lt;=6000),1,IF(AND(H314&gt;=4000,H314&lt;5000),0.5,0))</f>
        <v>1</v>
      </c>
      <c r="R314">
        <f>0.35*AVERAGE(L314:M314:N314)+0.3*O314+0.2*P314+0.15*Q314</f>
        <v>0.20833333333333331</v>
      </c>
      <c r="S314" t="str">
        <f>LEFT(K314,1)</f>
        <v/>
      </c>
      <c r="T314">
        <f>IF(S314="G",1,0)</f>
        <v>0</v>
      </c>
      <c r="U314">
        <f>IF(S314="K",1,0)</f>
        <v>0</v>
      </c>
      <c r="V314">
        <f>IF(S314="M",1,0)</f>
        <v>0</v>
      </c>
      <c r="W314">
        <f>IF(S314="F",1,0)</f>
        <v>0</v>
      </c>
    </row>
    <row r="315" spans="1:23" ht="28.2" customHeight="1" x14ac:dyDescent="0.3">
      <c r="A315" t="s">
        <v>448</v>
      </c>
      <c r="B315">
        <v>8.14</v>
      </c>
      <c r="C315">
        <v>81.7</v>
      </c>
      <c r="D315">
        <v>9.1270550000000004</v>
      </c>
      <c r="E315">
        <v>8.7800000000000003E-2</v>
      </c>
      <c r="F315">
        <v>1038</v>
      </c>
      <c r="G315">
        <f>IF(OR(C315="",B315="",B315=0),"",5.51*(C315/(B315^3)))</f>
        <v>0.83464239526153572</v>
      </c>
      <c r="H315">
        <v>5611</v>
      </c>
      <c r="I315">
        <v>1.1436076027286948</v>
      </c>
      <c r="J315">
        <v>0.439</v>
      </c>
      <c r="L315">
        <f>IF(AND(B315&gt;=0.8,B315&lt;=1.5),1,IF(AND(B315&gt;=0.5,B315&lt;=2),0.5,0))</f>
        <v>0</v>
      </c>
      <c r="M315">
        <f>IF(AND(C315&gt;=0.5,C315&lt;=2),1,IF(AND(C315&gt;=0.1,C315&lt;=5),0.5,0))</f>
        <v>0</v>
      </c>
      <c r="N315">
        <f>IF(AND(G315&gt;=4,G315&lt;=7),1,IF(AND(G315&gt;=3,G315&lt;=8),0.5,0))</f>
        <v>0</v>
      </c>
      <c r="O315">
        <f>IF(AND(F315&gt;=270,F315&lt;=310),1,IF(AND(F315&gt;=250,F315&lt;=330),0.5,0))</f>
        <v>0</v>
      </c>
      <c r="P315">
        <f>IF(AND(E315&gt;=0.8,E315&lt;=1.5),1,IF(AND(E315&gt;=0.5,E315&lt;=2),0.5,0))</f>
        <v>0</v>
      </c>
      <c r="Q315">
        <f>IF(AND(H315&gt;=5000,H315&lt;=6000),1,IF(AND(H315&gt;=4000,H315&lt;5000),0.5,0))</f>
        <v>1</v>
      </c>
      <c r="R315">
        <f>0.35*AVERAGE(L315:M315:N315)+0.3*O315+0.2*P315+0.15*Q315</f>
        <v>0.15</v>
      </c>
      <c r="S315" t="str">
        <f>LEFT(K315,1)</f>
        <v/>
      </c>
      <c r="T315">
        <f>IF(S315="G",1,0)</f>
        <v>0</v>
      </c>
      <c r="U315">
        <f>IF(S315="K",1,0)</f>
        <v>0</v>
      </c>
      <c r="V315">
        <f>IF(S315="M",1,0)</f>
        <v>0</v>
      </c>
      <c r="W315">
        <f>IF(S315="F",1,0)</f>
        <v>0</v>
      </c>
    </row>
    <row r="316" spans="1:23" ht="1.2" customHeight="1" x14ac:dyDescent="0.3">
      <c r="A316" t="s">
        <v>447</v>
      </c>
      <c r="B316">
        <v>11.99360935</v>
      </c>
      <c r="C316">
        <v>2034.1018048000001</v>
      </c>
      <c r="D316">
        <v>17.305904000000002</v>
      </c>
      <c r="E316">
        <v>0.16</v>
      </c>
      <c r="G316">
        <f>IF(OR(C316="",B316="",B316=0),"",5.51*(C316/(B316^3)))</f>
        <v>6.4964273592212303</v>
      </c>
      <c r="H316">
        <v>7130</v>
      </c>
      <c r="I316">
        <v>9.4612977104946339</v>
      </c>
      <c r="J316">
        <v>0</v>
      </c>
      <c r="L316">
        <f>IF(AND(B316&gt;=0.8,B316&lt;=1.5),1,IF(AND(B316&gt;=0.5,B316&lt;=2),0.5,0))</f>
        <v>0</v>
      </c>
      <c r="M316">
        <f>IF(AND(C316&gt;=0.5,C316&lt;=2),1,IF(AND(C316&gt;=0.1,C316&lt;=5),0.5,0))</f>
        <v>0</v>
      </c>
      <c r="N316">
        <f>IF(AND(G316&gt;=4,G316&lt;=7),1,IF(AND(G316&gt;=3,G316&lt;=8),0.5,0))</f>
        <v>1</v>
      </c>
      <c r="O316">
        <f>IF(AND(F316&gt;=270,F316&lt;=310),1,IF(AND(F316&gt;=250,F316&lt;=330),0.5,0))</f>
        <v>0</v>
      </c>
      <c r="P316">
        <f>IF(AND(E316&gt;=0.8,E316&lt;=1.5),1,IF(AND(E316&gt;=0.5,E316&lt;=2),0.5,0))</f>
        <v>0</v>
      </c>
      <c r="Q316">
        <f>IF(AND(H316&gt;=5000,H316&lt;=6000),1,IF(AND(H316&gt;=4000,H316&lt;5000),0.5,0))</f>
        <v>0</v>
      </c>
      <c r="R316">
        <f>0.35*AVERAGE(L316:M316:N316)+0.3*O316+0.2*P316+0.15*Q316</f>
        <v>0.11666666666666665</v>
      </c>
      <c r="S316" t="str">
        <f>LEFT(K316,1)</f>
        <v/>
      </c>
      <c r="T316">
        <f>IF(S316="G",1,0)</f>
        <v>0</v>
      </c>
      <c r="U316">
        <f>IF(S316="K",1,0)</f>
        <v>0</v>
      </c>
      <c r="V316">
        <f>IF(S316="M",1,0)</f>
        <v>0</v>
      </c>
      <c r="W316">
        <f>IF(S316="F",1,0)</f>
        <v>0</v>
      </c>
    </row>
    <row r="317" spans="1:23" x14ac:dyDescent="0.3">
      <c r="A317" t="s">
        <v>446</v>
      </c>
      <c r="B317">
        <v>11.81426566</v>
      </c>
      <c r="C317">
        <v>408.72733140000003</v>
      </c>
      <c r="D317">
        <v>141.834025</v>
      </c>
      <c r="E317">
        <v>0.55159999999999998</v>
      </c>
      <c r="F317">
        <v>400.2</v>
      </c>
      <c r="G317">
        <f>IF(OR(C317="",B317="",B317=0),"",5.51*(C317/(B317^3)))</f>
        <v>1.3657307303041952</v>
      </c>
      <c r="H317">
        <v>5929</v>
      </c>
      <c r="I317">
        <v>1.2907987635188432</v>
      </c>
      <c r="J317">
        <v>0.16800000000000001</v>
      </c>
      <c r="K317" t="s">
        <v>445</v>
      </c>
      <c r="L317">
        <f>IF(AND(B317&gt;=0.8,B317&lt;=1.5),1,IF(AND(B317&gt;=0.5,B317&lt;=2),0.5,0))</f>
        <v>0</v>
      </c>
      <c r="M317">
        <f>IF(AND(C317&gt;=0.5,C317&lt;=2),1,IF(AND(C317&gt;=0.1,C317&lt;=5),0.5,0))</f>
        <v>0</v>
      </c>
      <c r="N317">
        <f>IF(AND(G317&gt;=4,G317&lt;=7),1,IF(AND(G317&gt;=3,G317&lt;=8),0.5,0))</f>
        <v>0</v>
      </c>
      <c r="O317">
        <f>IF(AND(F317&gt;=270,F317&lt;=310),1,IF(AND(F317&gt;=250,F317&lt;=330),0.5,0))</f>
        <v>0</v>
      </c>
      <c r="P317">
        <f>IF(AND(E317&gt;=0.8,E317&lt;=1.5),1,IF(AND(E317&gt;=0.5,E317&lt;=2),0.5,0))</f>
        <v>0.5</v>
      </c>
      <c r="Q317">
        <f>IF(AND(H317&gt;=5000,H317&lt;=6000),1,IF(AND(H317&gt;=4000,H317&lt;5000),0.5,0))</f>
        <v>1</v>
      </c>
      <c r="R317">
        <f>0.35*AVERAGE(L317:M317:N317)+0.3*O317+0.2*P317+0.15*Q317</f>
        <v>0.25</v>
      </c>
      <c r="S317" t="str">
        <f>LEFT(K317,1)</f>
        <v>F</v>
      </c>
      <c r="T317">
        <f>IF(S317="G",1,0)</f>
        <v>0</v>
      </c>
      <c r="U317">
        <f>IF(S317="K",1,0)</f>
        <v>0</v>
      </c>
      <c r="V317">
        <f>IF(S317="M",1,0)</f>
        <v>0</v>
      </c>
      <c r="W317">
        <f>IF(S317="F",1,0)</f>
        <v>1</v>
      </c>
    </row>
    <row r="318" spans="1:23" x14ac:dyDescent="0.3">
      <c r="A318" t="s">
        <v>444</v>
      </c>
      <c r="B318">
        <v>3.3090000000000002</v>
      </c>
      <c r="C318">
        <v>9.1999999999999993</v>
      </c>
      <c r="D318">
        <v>3.3482370000000001</v>
      </c>
      <c r="E318">
        <v>2.9322000000000001E-2</v>
      </c>
      <c r="F318">
        <v>530.9</v>
      </c>
      <c r="G318">
        <f>IF(OR(C318="",B318="",B318=0),"",5.51*(C318/(B318^3)))</f>
        <v>1.3991011859396274</v>
      </c>
      <c r="H318">
        <v>3297</v>
      </c>
      <c r="I318">
        <v>1.1356843709503317E-2</v>
      </c>
      <c r="J318">
        <v>-0.31</v>
      </c>
      <c r="K318" t="s">
        <v>443</v>
      </c>
      <c r="L318">
        <f>IF(AND(B318&gt;=0.8,B318&lt;=1.5),1,IF(AND(B318&gt;=0.5,B318&lt;=2),0.5,0))</f>
        <v>0</v>
      </c>
      <c r="M318">
        <f>IF(AND(C318&gt;=0.5,C318&lt;=2),1,IF(AND(C318&gt;=0.1,C318&lt;=5),0.5,0))</f>
        <v>0</v>
      </c>
      <c r="N318">
        <f>IF(AND(G318&gt;=4,G318&lt;=7),1,IF(AND(G318&gt;=3,G318&lt;=8),0.5,0))</f>
        <v>0</v>
      </c>
      <c r="O318">
        <f>IF(AND(F318&gt;=270,F318&lt;=310),1,IF(AND(F318&gt;=250,F318&lt;=330),0.5,0))</f>
        <v>0</v>
      </c>
      <c r="P318">
        <f>IF(AND(E318&gt;=0.8,E318&lt;=1.5),1,IF(AND(E318&gt;=0.5,E318&lt;=2),0.5,0))</f>
        <v>0</v>
      </c>
      <c r="Q318">
        <f>IF(AND(H318&gt;=5000,H318&lt;=6000),1,IF(AND(H318&gt;=4000,H318&lt;5000),0.5,0))</f>
        <v>0</v>
      </c>
      <c r="R318">
        <f>0.35*AVERAGE(L318:M318:N318)+0.3*O318+0.2*P318+0.15*Q318</f>
        <v>0</v>
      </c>
      <c r="S318" t="str">
        <f>LEFT(K318,1)</f>
        <v>M</v>
      </c>
      <c r="T318">
        <f>IF(S318="G",1,0)</f>
        <v>0</v>
      </c>
      <c r="U318">
        <f>IF(S318="K",1,0)</f>
        <v>0</v>
      </c>
      <c r="V318">
        <f>IF(S318="M",1,0)</f>
        <v>1</v>
      </c>
      <c r="W318">
        <f>IF(S318="F",1,0)</f>
        <v>0</v>
      </c>
    </row>
    <row r="319" spans="1:23" x14ac:dyDescent="0.3">
      <c r="A319" t="s">
        <v>442</v>
      </c>
      <c r="B319">
        <v>2.2679999999999998</v>
      </c>
      <c r="C319">
        <v>9.1999999999999993</v>
      </c>
      <c r="D319">
        <v>7.4355830000000003</v>
      </c>
      <c r="G319">
        <f>IF(OR(C319="",B319="",B319=0),"",5.51*(C319/(B319^3)))</f>
        <v>4.3452050493245267</v>
      </c>
      <c r="H319">
        <v>4174</v>
      </c>
      <c r="I319">
        <v>0.10468465060421756</v>
      </c>
      <c r="J319">
        <v>-0.57999999999999996</v>
      </c>
      <c r="K319" t="s">
        <v>7</v>
      </c>
      <c r="L319">
        <f>IF(AND(B319&gt;=0.8,B319&lt;=1.5),1,IF(AND(B319&gt;=0.5,B319&lt;=2),0.5,0))</f>
        <v>0</v>
      </c>
      <c r="M319">
        <f>IF(AND(C319&gt;=0.5,C319&lt;=2),1,IF(AND(C319&gt;=0.1,C319&lt;=5),0.5,0))</f>
        <v>0</v>
      </c>
      <c r="N319">
        <f>IF(AND(G319&gt;=4,G319&lt;=7),1,IF(AND(G319&gt;=3,G319&lt;=8),0.5,0))</f>
        <v>1</v>
      </c>
      <c r="O319">
        <f>IF(AND(F319&gt;=270,F319&lt;=310),1,IF(AND(F319&gt;=250,F319&lt;=330),0.5,0))</f>
        <v>0</v>
      </c>
      <c r="P319">
        <f>IF(AND(E319&gt;=0.8,E319&lt;=1.5),1,IF(AND(E319&gt;=0.5,E319&lt;=2),0.5,0))</f>
        <v>0</v>
      </c>
      <c r="Q319">
        <f>IF(AND(H319&gt;=5000,H319&lt;=6000),1,IF(AND(H319&gt;=4000,H319&lt;5000),0.5,0))</f>
        <v>0.5</v>
      </c>
      <c r="R319">
        <f>0.35*AVERAGE(L319:M319:N319)+0.3*O319+0.2*P319+0.15*Q319</f>
        <v>0.19166666666666665</v>
      </c>
      <c r="S319" t="str">
        <f>LEFT(K319,1)</f>
        <v>K</v>
      </c>
      <c r="T319">
        <f>IF(S319="G",1,0)</f>
        <v>0</v>
      </c>
      <c r="U319">
        <f>IF(S319="K",1,0)</f>
        <v>1</v>
      </c>
      <c r="V319">
        <f>IF(S319="M",1,0)</f>
        <v>0</v>
      </c>
      <c r="W319">
        <f>IF(S319="F",1,0)</f>
        <v>0</v>
      </c>
    </row>
    <row r="320" spans="1:23" x14ac:dyDescent="0.3">
      <c r="A320" t="s">
        <v>441</v>
      </c>
      <c r="B320">
        <v>5.3327533699999998</v>
      </c>
      <c r="C320">
        <v>34.4</v>
      </c>
      <c r="D320">
        <v>15.3444</v>
      </c>
      <c r="E320">
        <v>0.128</v>
      </c>
      <c r="F320">
        <v>917.46</v>
      </c>
      <c r="G320">
        <f>IF(OR(C320="",B320="",B320=0),"",5.51*(C320/(B320^3)))</f>
        <v>1.2498432381165847</v>
      </c>
      <c r="H320">
        <v>5626</v>
      </c>
      <c r="I320">
        <v>2.7392267561607335</v>
      </c>
      <c r="J320">
        <v>0.40899999999999997</v>
      </c>
      <c r="L320">
        <f>IF(AND(B320&gt;=0.8,B320&lt;=1.5),1,IF(AND(B320&gt;=0.5,B320&lt;=2),0.5,0))</f>
        <v>0</v>
      </c>
      <c r="M320">
        <f>IF(AND(C320&gt;=0.5,C320&lt;=2),1,IF(AND(C320&gt;=0.1,C320&lt;=5),0.5,0))</f>
        <v>0</v>
      </c>
      <c r="N320">
        <f>IF(AND(G320&gt;=4,G320&lt;=7),1,IF(AND(G320&gt;=3,G320&lt;=8),0.5,0))</f>
        <v>0</v>
      </c>
      <c r="O320">
        <f>IF(AND(F320&gt;=270,F320&lt;=310),1,IF(AND(F320&gt;=250,F320&lt;=330),0.5,0))</f>
        <v>0</v>
      </c>
      <c r="P320">
        <f>IF(AND(E320&gt;=0.8,E320&lt;=1.5),1,IF(AND(E320&gt;=0.5,E320&lt;=2),0.5,0))</f>
        <v>0</v>
      </c>
      <c r="Q320">
        <f>IF(AND(H320&gt;=5000,H320&lt;=6000),1,IF(AND(H320&gt;=4000,H320&lt;5000),0.5,0))</f>
        <v>1</v>
      </c>
      <c r="R320">
        <f>0.35*AVERAGE(L320:M320:N320)+0.3*O320+0.2*P320+0.15*Q320</f>
        <v>0.15</v>
      </c>
      <c r="S320" t="str">
        <f>LEFT(K320,1)</f>
        <v/>
      </c>
      <c r="T320">
        <f>IF(S320="G",1,0)</f>
        <v>0</v>
      </c>
      <c r="U320">
        <f>IF(S320="K",1,0)</f>
        <v>0</v>
      </c>
      <c r="V320">
        <f>IF(S320="M",1,0)</f>
        <v>0</v>
      </c>
      <c r="W320">
        <f>IF(S320="F",1,0)</f>
        <v>0</v>
      </c>
    </row>
    <row r="321" spans="1:23" x14ac:dyDescent="0.3">
      <c r="A321" t="s">
        <v>440</v>
      </c>
      <c r="B321">
        <v>11.89272852</v>
      </c>
      <c r="C321">
        <v>1144.1822652000001</v>
      </c>
      <c r="D321">
        <v>8.8720981999999999</v>
      </c>
      <c r="E321">
        <v>8.9200000000000002E-2</v>
      </c>
      <c r="F321">
        <v>1166</v>
      </c>
      <c r="G321">
        <f>IF(OR(C321="",B321="",B321=0),"",5.51*(C321/(B321^3)))</f>
        <v>3.7480234135678328</v>
      </c>
      <c r="H321">
        <v>5977</v>
      </c>
      <c r="I321">
        <v>2.4374373238661526</v>
      </c>
      <c r="J321">
        <v>0.15</v>
      </c>
      <c r="L321">
        <f>IF(AND(B321&gt;=0.8,B321&lt;=1.5),1,IF(AND(B321&gt;=0.5,B321&lt;=2),0.5,0))</f>
        <v>0</v>
      </c>
      <c r="M321">
        <f>IF(AND(C321&gt;=0.5,C321&lt;=2),1,IF(AND(C321&gt;=0.1,C321&lt;=5),0.5,0))</f>
        <v>0</v>
      </c>
      <c r="N321">
        <f>IF(AND(G321&gt;=4,G321&lt;=7),1,IF(AND(G321&gt;=3,G321&lt;=8),0.5,0))</f>
        <v>0.5</v>
      </c>
      <c r="O321">
        <f>IF(AND(F321&gt;=270,F321&lt;=310),1,IF(AND(F321&gt;=250,F321&lt;=330),0.5,0))</f>
        <v>0</v>
      </c>
      <c r="P321">
        <f>IF(AND(E321&gt;=0.8,E321&lt;=1.5),1,IF(AND(E321&gt;=0.5,E321&lt;=2),0.5,0))</f>
        <v>0</v>
      </c>
      <c r="Q321">
        <f>IF(AND(H321&gt;=5000,H321&lt;=6000),1,IF(AND(H321&gt;=4000,H321&lt;5000),0.5,0))</f>
        <v>1</v>
      </c>
      <c r="R321">
        <f>0.35*AVERAGE(L321:M321:N321)+0.3*O321+0.2*P321+0.15*Q321</f>
        <v>0.20833333333333331</v>
      </c>
      <c r="S321" t="str">
        <f>LEFT(K321,1)</f>
        <v/>
      </c>
      <c r="T321">
        <f>IF(S321="G",1,0)</f>
        <v>0</v>
      </c>
      <c r="U321">
        <f>IF(S321="K",1,0)</f>
        <v>0</v>
      </c>
      <c r="V321">
        <f>IF(S321="M",1,0)</f>
        <v>0</v>
      </c>
      <c r="W321">
        <f>IF(S321="F",1,0)</f>
        <v>0</v>
      </c>
    </row>
    <row r="322" spans="1:23" x14ac:dyDescent="0.3">
      <c r="A322" t="s">
        <v>439</v>
      </c>
      <c r="B322">
        <v>14.20177855</v>
      </c>
      <c r="C322">
        <v>254.26272560000001</v>
      </c>
      <c r="D322">
        <v>5.7154865399999997</v>
      </c>
      <c r="E322">
        <v>6.6000000000000003E-2</v>
      </c>
      <c r="F322">
        <v>1358</v>
      </c>
      <c r="G322">
        <f>IF(OR(C322="",B322="",B322=0),"",5.51*(C322/(B322^3)))</f>
        <v>0.48910948839218338</v>
      </c>
      <c r="H322">
        <v>6490</v>
      </c>
      <c r="I322">
        <v>2.4513888147968004</v>
      </c>
      <c r="J322">
        <v>-0.24</v>
      </c>
      <c r="L322">
        <f>IF(AND(B322&gt;=0.8,B322&lt;=1.5),1,IF(AND(B322&gt;=0.5,B322&lt;=2),0.5,0))</f>
        <v>0</v>
      </c>
      <c r="M322">
        <f>IF(AND(C322&gt;=0.5,C322&lt;=2),1,IF(AND(C322&gt;=0.1,C322&lt;=5),0.5,0))</f>
        <v>0</v>
      </c>
      <c r="N322">
        <f>IF(AND(G322&gt;=4,G322&lt;=7),1,IF(AND(G322&gt;=3,G322&lt;=8),0.5,0))</f>
        <v>0</v>
      </c>
      <c r="O322">
        <f>IF(AND(F322&gt;=270,F322&lt;=310),1,IF(AND(F322&gt;=250,F322&lt;=330),0.5,0))</f>
        <v>0</v>
      </c>
      <c r="P322">
        <f>IF(AND(E322&gt;=0.8,E322&lt;=1.5),1,IF(AND(E322&gt;=0.5,E322&lt;=2),0.5,0))</f>
        <v>0</v>
      </c>
      <c r="Q322">
        <f>IF(AND(H322&gt;=5000,H322&lt;=6000),1,IF(AND(H322&gt;=4000,H322&lt;5000),0.5,0))</f>
        <v>0</v>
      </c>
      <c r="R322">
        <f>0.35*AVERAGE(L322:M322:N322)+0.3*O322+0.2*P322+0.15*Q322</f>
        <v>0</v>
      </c>
      <c r="S322" t="str">
        <f>LEFT(K322,1)</f>
        <v/>
      </c>
      <c r="T322">
        <f>IF(S322="G",1,0)</f>
        <v>0</v>
      </c>
      <c r="U322">
        <f>IF(S322="K",1,0)</f>
        <v>0</v>
      </c>
      <c r="V322">
        <f>IF(S322="M",1,0)</f>
        <v>0</v>
      </c>
      <c r="W322">
        <f>IF(S322="F",1,0)</f>
        <v>0</v>
      </c>
    </row>
    <row r="323" spans="1:23" x14ac:dyDescent="0.3">
      <c r="A323" t="s">
        <v>438</v>
      </c>
      <c r="B323">
        <v>16.140932209999999</v>
      </c>
      <c r="C323">
        <v>731.00533610000002</v>
      </c>
      <c r="D323">
        <v>1.4971842</v>
      </c>
      <c r="G323">
        <f>IF(OR(C323="",B323="",B323=0),"",5.51*(C323/(B323^3)))</f>
        <v>0.95782530247179298</v>
      </c>
      <c r="H323">
        <v>6250</v>
      </c>
      <c r="I323">
        <v>2.0043827661044515</v>
      </c>
      <c r="J323">
        <v>-0.06</v>
      </c>
      <c r="K323" t="s">
        <v>174</v>
      </c>
      <c r="L323">
        <f>IF(AND(B323&gt;=0.8,B323&lt;=1.5),1,IF(AND(B323&gt;=0.5,B323&lt;=2),0.5,0))</f>
        <v>0</v>
      </c>
      <c r="M323">
        <f>IF(AND(C323&gt;=0.5,C323&lt;=2),1,IF(AND(C323&gt;=0.1,C323&lt;=5),0.5,0))</f>
        <v>0</v>
      </c>
      <c r="N323">
        <f>IF(AND(G323&gt;=4,G323&lt;=7),1,IF(AND(G323&gt;=3,G323&lt;=8),0.5,0))</f>
        <v>0</v>
      </c>
      <c r="O323">
        <f>IF(AND(F323&gt;=270,F323&lt;=310),1,IF(AND(F323&gt;=250,F323&lt;=330),0.5,0))</f>
        <v>0</v>
      </c>
      <c r="P323">
        <f>IF(AND(E323&gt;=0.8,E323&lt;=1.5),1,IF(AND(E323&gt;=0.5,E323&lt;=2),0.5,0))</f>
        <v>0</v>
      </c>
      <c r="Q323">
        <f>IF(AND(H323&gt;=5000,H323&lt;=6000),1,IF(AND(H323&gt;=4000,H323&lt;5000),0.5,0))</f>
        <v>0</v>
      </c>
      <c r="R323">
        <f>0.35*AVERAGE(L323:M323:N323)+0.3*O323+0.2*P323+0.15*Q323</f>
        <v>0</v>
      </c>
      <c r="S323" t="str">
        <f>LEFT(K323,1)</f>
        <v>F</v>
      </c>
      <c r="T323">
        <f>IF(S323="G",1,0)</f>
        <v>0</v>
      </c>
      <c r="U323">
        <f>IF(S323="K",1,0)</f>
        <v>0</v>
      </c>
      <c r="V323">
        <f>IF(S323="M",1,0)</f>
        <v>0</v>
      </c>
      <c r="W323">
        <f>IF(S323="F",1,0)</f>
        <v>1</v>
      </c>
    </row>
    <row r="324" spans="1:23" x14ac:dyDescent="0.3">
      <c r="A324" t="s">
        <v>437</v>
      </c>
      <c r="B324">
        <v>2.61</v>
      </c>
      <c r="D324">
        <v>13.790190000000001</v>
      </c>
      <c r="G324" t="str">
        <f>IF(OR(C324="",B324="",B324=0),"",5.51*(C324/(B324^3)))</f>
        <v/>
      </c>
      <c r="H324">
        <v>5185</v>
      </c>
      <c r="I324">
        <v>0.40470547101762422</v>
      </c>
      <c r="J324">
        <v>0.02</v>
      </c>
      <c r="K324" t="s">
        <v>12</v>
      </c>
      <c r="L324">
        <f>IF(AND(B324&gt;=0.8,B324&lt;=1.5),1,IF(AND(B324&gt;=0.5,B324&lt;=2),0.5,0))</f>
        <v>0</v>
      </c>
      <c r="M324">
        <f>IF(AND(C324&gt;=0.5,C324&lt;=2),1,IF(AND(C324&gt;=0.1,C324&lt;=5),0.5,0))</f>
        <v>0</v>
      </c>
      <c r="N324">
        <f>IF(AND(G324&gt;=4,G324&lt;=7),1,IF(AND(G324&gt;=3,G324&lt;=8),0.5,0))</f>
        <v>0</v>
      </c>
      <c r="O324">
        <f>IF(AND(F324&gt;=270,F324&lt;=310),1,IF(AND(F324&gt;=250,F324&lt;=330),0.5,0))</f>
        <v>0</v>
      </c>
      <c r="P324">
        <f>IF(AND(E324&gt;=0.8,E324&lt;=1.5),1,IF(AND(E324&gt;=0.5,E324&lt;=2),0.5,0))</f>
        <v>0</v>
      </c>
      <c r="Q324">
        <f>IF(AND(H324&gt;=5000,H324&lt;=6000),1,IF(AND(H324&gt;=4000,H324&lt;5000),0.5,0))</f>
        <v>1</v>
      </c>
      <c r="R324">
        <f>0.35*AVERAGE(L324:M324:N324)+0.3*O324+0.2*P324+0.15*Q324</f>
        <v>0.15</v>
      </c>
      <c r="S324" t="str">
        <f>LEFT(K324,1)</f>
        <v>G</v>
      </c>
      <c r="T324">
        <f>IF(S324="G",1,0)</f>
        <v>1</v>
      </c>
      <c r="U324">
        <f>IF(S324="K",1,0)</f>
        <v>0</v>
      </c>
      <c r="V324">
        <f>IF(S324="M",1,0)</f>
        <v>0</v>
      </c>
      <c r="W324">
        <f>IF(S324="F",1,0)</f>
        <v>0</v>
      </c>
    </row>
    <row r="325" spans="1:23" x14ac:dyDescent="0.3">
      <c r="A325" t="s">
        <v>436</v>
      </c>
      <c r="B325">
        <v>1.3</v>
      </c>
      <c r="D325">
        <v>0.73631040000000003</v>
      </c>
      <c r="E325">
        <v>1.12E-2</v>
      </c>
      <c r="F325">
        <v>910</v>
      </c>
      <c r="G325" t="str">
        <f>IF(OR(C325="",B325="",B325=0),"",5.51*(C325/(B325^3)))</f>
        <v/>
      </c>
      <c r="H325">
        <v>3383</v>
      </c>
      <c r="I325">
        <v>1.4395737862543495E-2</v>
      </c>
      <c r="L325">
        <f>IF(AND(B325&gt;=0.8,B325&lt;=1.5),1,IF(AND(B325&gt;=0.5,B325&lt;=2),0.5,0))</f>
        <v>1</v>
      </c>
      <c r="M325">
        <f>IF(AND(C325&gt;=0.5,C325&lt;=2),1,IF(AND(C325&gt;=0.1,C325&lt;=5),0.5,0))</f>
        <v>0</v>
      </c>
      <c r="N325">
        <f>IF(AND(G325&gt;=4,G325&lt;=7),1,IF(AND(G325&gt;=3,G325&lt;=8),0.5,0))</f>
        <v>0</v>
      </c>
      <c r="O325">
        <f>IF(AND(F325&gt;=270,F325&lt;=310),1,IF(AND(F325&gt;=250,F325&lt;=330),0.5,0))</f>
        <v>0</v>
      </c>
      <c r="P325">
        <f>IF(AND(E325&gt;=0.8,E325&lt;=1.5),1,IF(AND(E325&gt;=0.5,E325&lt;=2),0.5,0))</f>
        <v>0</v>
      </c>
      <c r="Q325">
        <f>IF(AND(H325&gt;=5000,H325&lt;=6000),1,IF(AND(H325&gt;=4000,H325&lt;5000),0.5,0))</f>
        <v>0</v>
      </c>
      <c r="R325">
        <f>0.35*AVERAGE(L325:M325:N325)+0.3*O325+0.2*P325+0.15*Q325</f>
        <v>0.11666666666666665</v>
      </c>
      <c r="S325" t="str">
        <f>LEFT(K325,1)</f>
        <v/>
      </c>
      <c r="T325">
        <f>IF(S325="G",1,0)</f>
        <v>0</v>
      </c>
      <c r="U325">
        <f>IF(S325="K",1,0)</f>
        <v>0</v>
      </c>
      <c r="V325">
        <f>IF(S325="M",1,0)</f>
        <v>0</v>
      </c>
      <c r="W325">
        <f>IF(S325="F",1,0)</f>
        <v>0</v>
      </c>
    </row>
    <row r="326" spans="1:23" x14ac:dyDescent="0.3">
      <c r="A326" t="s">
        <v>435</v>
      </c>
      <c r="B326">
        <v>1.821</v>
      </c>
      <c r="D326">
        <v>7.7689149999999998</v>
      </c>
      <c r="E326">
        <v>6.3200000000000006E-2</v>
      </c>
      <c r="F326">
        <v>520.62</v>
      </c>
      <c r="G326" t="str">
        <f>IF(OR(C326="",B326="",B326=0),"",5.51*(C326/(B326^3)))</f>
        <v/>
      </c>
      <c r="H326">
        <v>3710</v>
      </c>
      <c r="I326">
        <v>4.8651143506345133E-2</v>
      </c>
      <c r="J326">
        <v>0.27</v>
      </c>
      <c r="L326">
        <f>IF(AND(B326&gt;=0.8,B326&lt;=1.5),1,IF(AND(B326&gt;=0.5,B326&lt;=2),0.5,0))</f>
        <v>0.5</v>
      </c>
      <c r="M326">
        <f>IF(AND(C326&gt;=0.5,C326&lt;=2),1,IF(AND(C326&gt;=0.1,C326&lt;=5),0.5,0))</f>
        <v>0</v>
      </c>
      <c r="N326">
        <f>IF(AND(G326&gt;=4,G326&lt;=7),1,IF(AND(G326&gt;=3,G326&lt;=8),0.5,0))</f>
        <v>0</v>
      </c>
      <c r="O326">
        <f>IF(AND(F326&gt;=270,F326&lt;=310),1,IF(AND(F326&gt;=250,F326&lt;=330),0.5,0))</f>
        <v>0</v>
      </c>
      <c r="P326">
        <f>IF(AND(E326&gt;=0.8,E326&lt;=1.5),1,IF(AND(E326&gt;=0.5,E326&lt;=2),0.5,0))</f>
        <v>0</v>
      </c>
      <c r="Q326">
        <f>IF(AND(H326&gt;=5000,H326&lt;=6000),1,IF(AND(H326&gt;=4000,H326&lt;5000),0.5,0))</f>
        <v>0</v>
      </c>
      <c r="R326">
        <f>0.35*AVERAGE(L326:M326:N326)+0.3*O326+0.2*P326+0.15*Q326</f>
        <v>5.8333333333333327E-2</v>
      </c>
      <c r="S326" t="str">
        <f>LEFT(K326,1)</f>
        <v/>
      </c>
      <c r="T326">
        <f>IF(S326="G",1,0)</f>
        <v>0</v>
      </c>
      <c r="U326">
        <f>IF(S326="K",1,0)</f>
        <v>0</v>
      </c>
      <c r="V326">
        <f>IF(S326="M",1,0)</f>
        <v>0</v>
      </c>
      <c r="W326">
        <f>IF(S326="F",1,0)</f>
        <v>0</v>
      </c>
    </row>
    <row r="327" spans="1:23" x14ac:dyDescent="0.3">
      <c r="A327" t="s">
        <v>434</v>
      </c>
      <c r="B327">
        <v>2.39</v>
      </c>
      <c r="D327">
        <v>10.355235</v>
      </c>
      <c r="F327">
        <v>738</v>
      </c>
      <c r="G327" t="str">
        <f>IF(OR(C327="",B327="",B327=0),"",5.51*(C327/(B327^3)))</f>
        <v/>
      </c>
      <c r="H327">
        <v>5201</v>
      </c>
      <c r="I327">
        <v>0.3932956893561656</v>
      </c>
      <c r="J327">
        <v>1.7000000000000001E-2</v>
      </c>
      <c r="L327">
        <f>IF(AND(B327&gt;=0.8,B327&lt;=1.5),1,IF(AND(B327&gt;=0.5,B327&lt;=2),0.5,0))</f>
        <v>0</v>
      </c>
      <c r="M327">
        <f>IF(AND(C327&gt;=0.5,C327&lt;=2),1,IF(AND(C327&gt;=0.1,C327&lt;=5),0.5,0))</f>
        <v>0</v>
      </c>
      <c r="N327">
        <f>IF(AND(G327&gt;=4,G327&lt;=7),1,IF(AND(G327&gt;=3,G327&lt;=8),0.5,0))</f>
        <v>0</v>
      </c>
      <c r="O327">
        <f>IF(AND(F327&gt;=270,F327&lt;=310),1,IF(AND(F327&gt;=250,F327&lt;=330),0.5,0))</f>
        <v>0</v>
      </c>
      <c r="P327">
        <f>IF(AND(E327&gt;=0.8,E327&lt;=1.5),1,IF(AND(E327&gt;=0.5,E327&lt;=2),0.5,0))</f>
        <v>0</v>
      </c>
      <c r="Q327">
        <f>IF(AND(H327&gt;=5000,H327&lt;=6000),1,IF(AND(H327&gt;=4000,H327&lt;5000),0.5,0))</f>
        <v>1</v>
      </c>
      <c r="R327">
        <f>0.35*AVERAGE(L327:M327:N327)+0.3*O327+0.2*P327+0.15*Q327</f>
        <v>0.15</v>
      </c>
      <c r="S327" t="str">
        <f>LEFT(K327,1)</f>
        <v/>
      </c>
      <c r="T327">
        <f>IF(S327="G",1,0)</f>
        <v>0</v>
      </c>
      <c r="U327">
        <f>IF(S327="K",1,0)</f>
        <v>0</v>
      </c>
      <c r="V327">
        <f>IF(S327="M",1,0)</f>
        <v>0</v>
      </c>
      <c r="W327">
        <f>IF(S327="F",1,0)</f>
        <v>0</v>
      </c>
    </row>
    <row r="328" spans="1:23" x14ac:dyDescent="0.3">
      <c r="A328" t="s">
        <v>433</v>
      </c>
      <c r="B328">
        <v>3.6944158699999998</v>
      </c>
      <c r="C328">
        <v>55</v>
      </c>
      <c r="D328">
        <v>21.015326999999999</v>
      </c>
      <c r="E328">
        <v>0.14199999999999999</v>
      </c>
      <c r="F328">
        <v>543.16</v>
      </c>
      <c r="G328">
        <f>IF(OR(C328="",B328="",B328=0),"",5.51*(C328/(B328^3)))</f>
        <v>6.0100342207444379</v>
      </c>
      <c r="H328">
        <v>5192</v>
      </c>
      <c r="I328">
        <v>0.41309954878553018</v>
      </c>
      <c r="J328">
        <v>0.02</v>
      </c>
      <c r="L328">
        <f>IF(AND(B328&gt;=0.8,B328&lt;=1.5),1,IF(AND(B328&gt;=0.5,B328&lt;=2),0.5,0))</f>
        <v>0</v>
      </c>
      <c r="M328">
        <f>IF(AND(C328&gt;=0.5,C328&lt;=2),1,IF(AND(C328&gt;=0.1,C328&lt;=5),0.5,0))</f>
        <v>0</v>
      </c>
      <c r="N328">
        <f>IF(AND(G328&gt;=4,G328&lt;=7),1,IF(AND(G328&gt;=3,G328&lt;=8),0.5,0))</f>
        <v>1</v>
      </c>
      <c r="O328">
        <f>IF(AND(F328&gt;=270,F328&lt;=310),1,IF(AND(F328&gt;=250,F328&lt;=330),0.5,0))</f>
        <v>0</v>
      </c>
      <c r="P328">
        <f>IF(AND(E328&gt;=0.8,E328&lt;=1.5),1,IF(AND(E328&gt;=0.5,E328&lt;=2),0.5,0))</f>
        <v>0</v>
      </c>
      <c r="Q328">
        <f>IF(AND(H328&gt;=5000,H328&lt;=6000),1,IF(AND(H328&gt;=4000,H328&lt;5000),0.5,0))</f>
        <v>1</v>
      </c>
      <c r="R328">
        <f>0.35*AVERAGE(L328:M328:N328)+0.3*O328+0.2*P328+0.15*Q328</f>
        <v>0.26666666666666666</v>
      </c>
      <c r="S328" t="str">
        <f>LEFT(K328,1)</f>
        <v/>
      </c>
      <c r="T328">
        <f>IF(S328="G",1,0)</f>
        <v>0</v>
      </c>
      <c r="U328">
        <f>IF(S328="K",1,0)</f>
        <v>0</v>
      </c>
      <c r="V328">
        <f>IF(S328="M",1,0)</f>
        <v>0</v>
      </c>
      <c r="W328">
        <f>IF(S328="F",1,0)</f>
        <v>0</v>
      </c>
    </row>
    <row r="329" spans="1:23" x14ac:dyDescent="0.3">
      <c r="A329" t="s">
        <v>432</v>
      </c>
      <c r="B329">
        <v>3.4308775100000002</v>
      </c>
      <c r="C329">
        <v>29</v>
      </c>
      <c r="D329">
        <v>35.125686000000002</v>
      </c>
      <c r="E329">
        <v>0.19900000000000001</v>
      </c>
      <c r="F329">
        <v>457.68</v>
      </c>
      <c r="G329">
        <f>IF(OR(C329="",B329="",B329=0),"",5.51*(C329/(B329^3)))</f>
        <v>3.9567076040008322</v>
      </c>
      <c r="H329">
        <v>5192</v>
      </c>
      <c r="I329">
        <v>0.41309954878553018</v>
      </c>
      <c r="J329">
        <v>0.02</v>
      </c>
      <c r="L329">
        <f>IF(AND(B329&gt;=0.8,B329&lt;=1.5),1,IF(AND(B329&gt;=0.5,B329&lt;=2),0.5,0))</f>
        <v>0</v>
      </c>
      <c r="M329">
        <f>IF(AND(C329&gt;=0.5,C329&lt;=2),1,IF(AND(C329&gt;=0.1,C329&lt;=5),0.5,0))</f>
        <v>0</v>
      </c>
      <c r="N329">
        <f>IF(AND(G329&gt;=4,G329&lt;=7),1,IF(AND(G329&gt;=3,G329&lt;=8),0.5,0))</f>
        <v>0.5</v>
      </c>
      <c r="O329">
        <f>IF(AND(F329&gt;=270,F329&lt;=310),1,IF(AND(F329&gt;=250,F329&lt;=330),0.5,0))</f>
        <v>0</v>
      </c>
      <c r="P329">
        <f>IF(AND(E329&gt;=0.8,E329&lt;=1.5),1,IF(AND(E329&gt;=0.5,E329&lt;=2),0.5,0))</f>
        <v>0</v>
      </c>
      <c r="Q329">
        <f>IF(AND(H329&gt;=5000,H329&lt;=6000),1,IF(AND(H329&gt;=4000,H329&lt;5000),0.5,0))</f>
        <v>1</v>
      </c>
      <c r="R329">
        <f>0.35*AVERAGE(L329:M329:N329)+0.3*O329+0.2*P329+0.15*Q329</f>
        <v>0.20833333333333331</v>
      </c>
      <c r="S329" t="str">
        <f>LEFT(K329,1)</f>
        <v/>
      </c>
      <c r="T329">
        <f>IF(S329="G",1,0)</f>
        <v>0</v>
      </c>
      <c r="U329">
        <f>IF(S329="K",1,0)</f>
        <v>0</v>
      </c>
      <c r="V329">
        <f>IF(S329="M",1,0)</f>
        <v>0</v>
      </c>
      <c r="W329">
        <f>IF(S329="F",1,0)</f>
        <v>0</v>
      </c>
    </row>
    <row r="330" spans="1:23" x14ac:dyDescent="0.3">
      <c r="A330" t="s">
        <v>431</v>
      </c>
      <c r="B330">
        <v>1.355</v>
      </c>
      <c r="D330">
        <v>3.0223445</v>
      </c>
      <c r="E330">
        <v>3.85E-2</v>
      </c>
      <c r="F330">
        <v>1138</v>
      </c>
      <c r="G330" t="str">
        <f>IF(OR(C330="",B330="",B330=0),"",5.51*(C330/(B330^3)))</f>
        <v/>
      </c>
      <c r="H330">
        <v>5192</v>
      </c>
      <c r="I330">
        <v>0.41309954878553018</v>
      </c>
      <c r="J330">
        <v>0.02</v>
      </c>
      <c r="L330">
        <f>IF(AND(B330&gt;=0.8,B330&lt;=1.5),1,IF(AND(B330&gt;=0.5,B330&lt;=2),0.5,0))</f>
        <v>1</v>
      </c>
      <c r="M330">
        <f>IF(AND(C330&gt;=0.5,C330&lt;=2),1,IF(AND(C330&gt;=0.1,C330&lt;=5),0.5,0))</f>
        <v>0</v>
      </c>
      <c r="N330">
        <f>IF(AND(G330&gt;=4,G330&lt;=7),1,IF(AND(G330&gt;=3,G330&lt;=8),0.5,0))</f>
        <v>0</v>
      </c>
      <c r="O330">
        <f>IF(AND(F330&gt;=270,F330&lt;=310),1,IF(AND(F330&gt;=250,F330&lt;=330),0.5,0))</f>
        <v>0</v>
      </c>
      <c r="P330">
        <f>IF(AND(E330&gt;=0.8,E330&lt;=1.5),1,IF(AND(E330&gt;=0.5,E330&lt;=2),0.5,0))</f>
        <v>0</v>
      </c>
      <c r="Q330">
        <f>IF(AND(H330&gt;=5000,H330&lt;=6000),1,IF(AND(H330&gt;=4000,H330&lt;5000),0.5,0))</f>
        <v>1</v>
      </c>
      <c r="R330">
        <f>0.35*AVERAGE(L330:M330:N330)+0.3*O330+0.2*P330+0.15*Q330</f>
        <v>0.26666666666666666</v>
      </c>
      <c r="S330" t="str">
        <f>LEFT(K330,1)</f>
        <v/>
      </c>
      <c r="T330">
        <f>IF(S330="G",1,0)</f>
        <v>0</v>
      </c>
      <c r="U330">
        <f>IF(S330="K",1,0)</f>
        <v>0</v>
      </c>
      <c r="V330">
        <f>IF(S330="M",1,0)</f>
        <v>0</v>
      </c>
      <c r="W330">
        <f>IF(S330="F",1,0)</f>
        <v>0</v>
      </c>
    </row>
    <row r="331" spans="1:23" x14ac:dyDescent="0.3">
      <c r="A331" t="s">
        <v>430</v>
      </c>
      <c r="B331">
        <v>2.04</v>
      </c>
      <c r="D331">
        <v>10.50534</v>
      </c>
      <c r="E331">
        <v>7.5200000000000003E-2</v>
      </c>
      <c r="F331">
        <v>488</v>
      </c>
      <c r="G331" t="str">
        <f>IF(OR(C331="",B331="",B331=0),"",5.51*(C331/(B331^3)))</f>
        <v/>
      </c>
      <c r="H331">
        <v>3800</v>
      </c>
      <c r="I331">
        <v>5.3346600643299907E-2</v>
      </c>
      <c r="J331">
        <v>-0.5</v>
      </c>
      <c r="K331" t="s">
        <v>429</v>
      </c>
      <c r="L331">
        <f>IF(AND(B331&gt;=0.8,B331&lt;=1.5),1,IF(AND(B331&gt;=0.5,B331&lt;=2),0.5,0))</f>
        <v>0</v>
      </c>
      <c r="M331">
        <f>IF(AND(C331&gt;=0.5,C331&lt;=2),1,IF(AND(C331&gt;=0.1,C331&lt;=5),0.5,0))</f>
        <v>0</v>
      </c>
      <c r="N331">
        <f>IF(AND(G331&gt;=4,G331&lt;=7),1,IF(AND(G331&gt;=3,G331&lt;=8),0.5,0))</f>
        <v>0</v>
      </c>
      <c r="O331">
        <f>IF(AND(F331&gt;=270,F331&lt;=310),1,IF(AND(F331&gt;=250,F331&lt;=330),0.5,0))</f>
        <v>0</v>
      </c>
      <c r="P331">
        <f>IF(AND(E331&gt;=0.8,E331&lt;=1.5),1,IF(AND(E331&gt;=0.5,E331&lt;=2),0.5,0))</f>
        <v>0</v>
      </c>
      <c r="Q331">
        <f>IF(AND(H331&gt;=5000,H331&lt;=6000),1,IF(AND(H331&gt;=4000,H331&lt;5000),0.5,0))</f>
        <v>0</v>
      </c>
      <c r="R331">
        <f>0.35*AVERAGE(L331:M331:N331)+0.3*O331+0.2*P331+0.15*Q331</f>
        <v>0</v>
      </c>
      <c r="S331" t="str">
        <f>LEFT(K331,1)</f>
        <v>M</v>
      </c>
      <c r="T331">
        <f>IF(S331="G",1,0)</f>
        <v>0</v>
      </c>
      <c r="U331">
        <f>IF(S331="K",1,0)</f>
        <v>0</v>
      </c>
      <c r="V331">
        <f>IF(S331="M",1,0)</f>
        <v>1</v>
      </c>
      <c r="W331">
        <f>IF(S331="F",1,0)</f>
        <v>0</v>
      </c>
    </row>
    <row r="332" spans="1:23" x14ac:dyDescent="0.3">
      <c r="A332" t="s">
        <v>428</v>
      </c>
      <c r="B332">
        <v>2.4700000000000002</v>
      </c>
      <c r="D332">
        <v>6.0784247000000002</v>
      </c>
      <c r="E332">
        <v>5.006E-2</v>
      </c>
      <c r="F332">
        <v>527</v>
      </c>
      <c r="G332" t="str">
        <f>IF(OR(C332="",B332="",B332=0),"",5.51*(C332/(B332^3)))</f>
        <v/>
      </c>
      <c r="H332">
        <v>3551</v>
      </c>
      <c r="I332">
        <v>3.2186945038557506E-2</v>
      </c>
      <c r="J332">
        <v>-0.13</v>
      </c>
      <c r="K332" t="s">
        <v>427</v>
      </c>
      <c r="L332">
        <f>IF(AND(B332&gt;=0.8,B332&lt;=1.5),1,IF(AND(B332&gt;=0.5,B332&lt;=2),0.5,0))</f>
        <v>0</v>
      </c>
      <c r="M332">
        <f>IF(AND(C332&gt;=0.5,C332&lt;=2),1,IF(AND(C332&gt;=0.1,C332&lt;=5),0.5,0))</f>
        <v>0</v>
      </c>
      <c r="N332">
        <f>IF(AND(G332&gt;=4,G332&lt;=7),1,IF(AND(G332&gt;=3,G332&lt;=8),0.5,0))</f>
        <v>0</v>
      </c>
      <c r="O332">
        <f>IF(AND(F332&gt;=270,F332&lt;=310),1,IF(AND(F332&gt;=250,F332&lt;=330),0.5,0))</f>
        <v>0</v>
      </c>
      <c r="P332">
        <f>IF(AND(E332&gt;=0.8,E332&lt;=1.5),1,IF(AND(E332&gt;=0.5,E332&lt;=2),0.5,0))</f>
        <v>0</v>
      </c>
      <c r="Q332">
        <f>IF(AND(H332&gt;=5000,H332&lt;=6000),1,IF(AND(H332&gt;=4000,H332&lt;5000),0.5,0))</f>
        <v>0</v>
      </c>
      <c r="R332">
        <f>0.35*AVERAGE(L332:M332:N332)+0.3*O332+0.2*P332+0.15*Q332</f>
        <v>0</v>
      </c>
      <c r="S332" t="str">
        <f>LEFT(K332,1)</f>
        <v>M</v>
      </c>
      <c r="T332">
        <f>IF(S332="G",1,0)</f>
        <v>0</v>
      </c>
      <c r="U332">
        <f>IF(S332="K",1,0)</f>
        <v>0</v>
      </c>
      <c r="V332">
        <f>IF(S332="M",1,0)</f>
        <v>1</v>
      </c>
      <c r="W332">
        <f>IF(S332="F",1,0)</f>
        <v>0</v>
      </c>
    </row>
    <row r="333" spans="1:23" x14ac:dyDescent="0.3">
      <c r="A333" t="s">
        <v>426</v>
      </c>
      <c r="B333">
        <v>3.6831179000000001</v>
      </c>
      <c r="C333">
        <v>37</v>
      </c>
      <c r="D333">
        <v>124.72996999999999</v>
      </c>
      <c r="E333">
        <v>0.47199999999999998</v>
      </c>
      <c r="F333">
        <v>300.33</v>
      </c>
      <c r="G333">
        <f>IF(OR(C333="",B333="",B333=0),"",5.51*(C333/(B333^3)))</f>
        <v>4.0804349540427047</v>
      </c>
      <c r="H333">
        <v>5081</v>
      </c>
      <c r="I333">
        <v>0.43011120435144584</v>
      </c>
      <c r="J333">
        <v>0.33900000000000002</v>
      </c>
      <c r="L333">
        <f>IF(AND(B333&gt;=0.8,B333&lt;=1.5),1,IF(AND(B333&gt;=0.5,B333&lt;=2),0.5,0))</f>
        <v>0</v>
      </c>
      <c r="M333">
        <f>IF(AND(C333&gt;=0.5,C333&lt;=2),1,IF(AND(C333&gt;=0.1,C333&lt;=5),0.5,0))</f>
        <v>0</v>
      </c>
      <c r="N333">
        <f>IF(AND(G333&gt;=4,G333&lt;=7),1,IF(AND(G333&gt;=3,G333&lt;=8),0.5,0))</f>
        <v>1</v>
      </c>
      <c r="O333">
        <f>IF(AND(F333&gt;=270,F333&lt;=310),1,IF(AND(F333&gt;=250,F333&lt;=330),0.5,0))</f>
        <v>1</v>
      </c>
      <c r="P333">
        <f>IF(AND(E333&gt;=0.8,E333&lt;=1.5),1,IF(AND(E333&gt;=0.5,E333&lt;=2),0.5,0))</f>
        <v>0</v>
      </c>
      <c r="Q333">
        <f>IF(AND(H333&gt;=5000,H333&lt;=6000),1,IF(AND(H333&gt;=4000,H333&lt;5000),0.5,0))</f>
        <v>1</v>
      </c>
      <c r="R333">
        <f>0.35*AVERAGE(L333:M333:N333)+0.3*O333+0.2*P333+0.15*Q333</f>
        <v>0.56666666666666665</v>
      </c>
      <c r="S333" t="str">
        <f>LEFT(K333,1)</f>
        <v/>
      </c>
      <c r="T333">
        <f>IF(S333="G",1,0)</f>
        <v>0</v>
      </c>
      <c r="U333">
        <f>IF(S333="K",1,0)</f>
        <v>0</v>
      </c>
      <c r="V333">
        <f>IF(S333="M",1,0)</f>
        <v>0</v>
      </c>
      <c r="W333">
        <f>IF(S333="F",1,0)</f>
        <v>0</v>
      </c>
    </row>
    <row r="334" spans="1:23" x14ac:dyDescent="0.3">
      <c r="A334" t="s">
        <v>425</v>
      </c>
      <c r="B334">
        <v>2.2999999999999998</v>
      </c>
      <c r="C334">
        <v>15.8</v>
      </c>
      <c r="D334">
        <v>53.811489999999999</v>
      </c>
      <c r="E334">
        <v>0.25700000000000001</v>
      </c>
      <c r="F334">
        <v>329</v>
      </c>
      <c r="G334">
        <f>IF(OR(C334="",B334="",B334=0),"",5.51*(C334/(B334^3)))</f>
        <v>7.155256020383006</v>
      </c>
      <c r="H334">
        <v>4426</v>
      </c>
      <c r="I334">
        <v>0.18297448984576176</v>
      </c>
      <c r="J334">
        <v>-0.08</v>
      </c>
      <c r="K334" t="s">
        <v>360</v>
      </c>
      <c r="L334">
        <f>IF(AND(B334&gt;=0.8,B334&lt;=1.5),1,IF(AND(B334&gt;=0.5,B334&lt;=2),0.5,0))</f>
        <v>0</v>
      </c>
      <c r="M334">
        <f>IF(AND(C334&gt;=0.5,C334&lt;=2),1,IF(AND(C334&gt;=0.1,C334&lt;=5),0.5,0))</f>
        <v>0</v>
      </c>
      <c r="N334">
        <f>IF(AND(G334&gt;=4,G334&lt;=7),1,IF(AND(G334&gt;=3,G334&lt;=8),0.5,0))</f>
        <v>0.5</v>
      </c>
      <c r="O334">
        <f>IF(AND(F334&gt;=270,F334&lt;=310),1,IF(AND(F334&gt;=250,F334&lt;=330),0.5,0))</f>
        <v>0.5</v>
      </c>
      <c r="P334">
        <f>IF(AND(E334&gt;=0.8,E334&lt;=1.5),1,IF(AND(E334&gt;=0.5,E334&lt;=2),0.5,0))</f>
        <v>0</v>
      </c>
      <c r="Q334">
        <f>IF(AND(H334&gt;=5000,H334&lt;=6000),1,IF(AND(H334&gt;=4000,H334&lt;5000),0.5,0))</f>
        <v>0.5</v>
      </c>
      <c r="R334">
        <f>0.35*AVERAGE(L334:M334:N334)+0.3*O334+0.2*P334+0.15*Q334</f>
        <v>0.28333333333333333</v>
      </c>
      <c r="S334" t="str">
        <f>LEFT(K334,1)</f>
        <v>K</v>
      </c>
      <c r="T334">
        <f>IF(S334="G",1,0)</f>
        <v>0</v>
      </c>
      <c r="U334">
        <f>IF(S334="K",1,0)</f>
        <v>1</v>
      </c>
      <c r="V334">
        <f>IF(S334="M",1,0)</f>
        <v>0</v>
      </c>
      <c r="W334">
        <f>IF(S334="F",1,0)</f>
        <v>0</v>
      </c>
    </row>
    <row r="335" spans="1:23" x14ac:dyDescent="0.3">
      <c r="A335" t="s">
        <v>424</v>
      </c>
      <c r="B335">
        <v>1.25</v>
      </c>
      <c r="C335">
        <v>4.0999999999999996</v>
      </c>
      <c r="D335">
        <v>17.664840000000002</v>
      </c>
      <c r="E335">
        <v>0.10100000000000001</v>
      </c>
      <c r="F335">
        <v>347</v>
      </c>
      <c r="G335">
        <f>IF(OR(C335="",B335="",B335=0),"",5.51*(C335/(B335^3)))</f>
        <v>11.566591999999998</v>
      </c>
      <c r="H335">
        <v>3759</v>
      </c>
      <c r="I335">
        <v>3.4680432569185828E-2</v>
      </c>
      <c r="J335">
        <v>-0.24</v>
      </c>
      <c r="K335" t="s">
        <v>0</v>
      </c>
      <c r="L335">
        <f>IF(AND(B335&gt;=0.8,B335&lt;=1.5),1,IF(AND(B335&gt;=0.5,B335&lt;=2),0.5,0))</f>
        <v>1</v>
      </c>
      <c r="M335">
        <f>IF(AND(C335&gt;=0.5,C335&lt;=2),1,IF(AND(C335&gt;=0.1,C335&lt;=5),0.5,0))</f>
        <v>0.5</v>
      </c>
      <c r="N335">
        <f>IF(AND(G335&gt;=4,G335&lt;=7),1,IF(AND(G335&gt;=3,G335&lt;=8),0.5,0))</f>
        <v>0</v>
      </c>
      <c r="O335">
        <f>IF(AND(F335&gt;=270,F335&lt;=310),1,IF(AND(F335&gt;=250,F335&lt;=330),0.5,0))</f>
        <v>0</v>
      </c>
      <c r="P335">
        <f>IF(AND(E335&gt;=0.8,E335&lt;=1.5),1,IF(AND(E335&gt;=0.5,E335&lt;=2),0.5,0))</f>
        <v>0</v>
      </c>
      <c r="Q335">
        <f>IF(AND(H335&gt;=5000,H335&lt;=6000),1,IF(AND(H335&gt;=4000,H335&lt;5000),0.5,0))</f>
        <v>0</v>
      </c>
      <c r="R335">
        <f>0.35*AVERAGE(L335:M335:N335)+0.3*O335+0.2*P335+0.15*Q335</f>
        <v>0.17499999999999999</v>
      </c>
      <c r="S335" t="str">
        <f>LEFT(K335,1)</f>
        <v>M</v>
      </c>
      <c r="T335">
        <f>IF(S335="G",1,0)</f>
        <v>0</v>
      </c>
      <c r="U335">
        <f>IF(S335="K",1,0)</f>
        <v>0</v>
      </c>
      <c r="V335">
        <f>IF(S335="M",1,0)</f>
        <v>1</v>
      </c>
      <c r="W335">
        <f>IF(S335="F",1,0)</f>
        <v>0</v>
      </c>
    </row>
    <row r="336" spans="1:23" x14ac:dyDescent="0.3">
      <c r="A336" t="s">
        <v>423</v>
      </c>
      <c r="B336">
        <v>1.33</v>
      </c>
      <c r="C336">
        <v>7.4</v>
      </c>
      <c r="D336">
        <v>28.172319999999999</v>
      </c>
      <c r="E336">
        <v>0.13700000000000001</v>
      </c>
      <c r="F336">
        <v>297</v>
      </c>
      <c r="G336">
        <f>IF(OR(C336="",B336="",B336=0),"",5.51*(C336/(B336^3)))</f>
        <v>17.331190489650549</v>
      </c>
      <c r="H336">
        <v>3759</v>
      </c>
      <c r="I336">
        <v>3.4680432569185828E-2</v>
      </c>
      <c r="J336">
        <v>-0.24</v>
      </c>
      <c r="K336" t="s">
        <v>0</v>
      </c>
      <c r="L336">
        <f>IF(AND(B336&gt;=0.8,B336&lt;=1.5),1,IF(AND(B336&gt;=0.5,B336&lt;=2),0.5,0))</f>
        <v>1</v>
      </c>
      <c r="M336">
        <f>IF(AND(C336&gt;=0.5,C336&lt;=2),1,IF(AND(C336&gt;=0.1,C336&lt;=5),0.5,0))</f>
        <v>0</v>
      </c>
      <c r="N336">
        <f>IF(AND(G336&gt;=4,G336&lt;=7),1,IF(AND(G336&gt;=3,G336&lt;=8),0.5,0))</f>
        <v>0</v>
      </c>
      <c r="O336">
        <f>IF(AND(F336&gt;=270,F336&lt;=310),1,IF(AND(F336&gt;=250,F336&lt;=330),0.5,0))</f>
        <v>1</v>
      </c>
      <c r="P336">
        <f>IF(AND(E336&gt;=0.8,E336&lt;=1.5),1,IF(AND(E336&gt;=0.5,E336&lt;=2),0.5,0))</f>
        <v>0</v>
      </c>
      <c r="Q336">
        <f>IF(AND(H336&gt;=5000,H336&lt;=6000),1,IF(AND(H336&gt;=4000,H336&lt;5000),0.5,0))</f>
        <v>0</v>
      </c>
      <c r="R336">
        <f>0.35*AVERAGE(L336:M336:N336)+0.3*O336+0.2*P336+0.15*Q336</f>
        <v>0.41666666666666663</v>
      </c>
      <c r="S336" t="str">
        <f>LEFT(K336,1)</f>
        <v>M</v>
      </c>
      <c r="T336">
        <f>IF(S336="G",1,0)</f>
        <v>0</v>
      </c>
      <c r="U336">
        <f>IF(S336="K",1,0)</f>
        <v>0</v>
      </c>
      <c r="V336">
        <f>IF(S336="M",1,0)</f>
        <v>1</v>
      </c>
      <c r="W336">
        <f>IF(S336="F",1,0)</f>
        <v>0</v>
      </c>
    </row>
    <row r="337" spans="1:23" x14ac:dyDescent="0.3">
      <c r="A337" t="s">
        <v>422</v>
      </c>
      <c r="B337">
        <v>1.2430000000000001</v>
      </c>
      <c r="D337">
        <v>3.1190633000000001</v>
      </c>
      <c r="E337">
        <v>2.5000000000000001E-2</v>
      </c>
      <c r="F337">
        <v>445</v>
      </c>
      <c r="G337" t="str">
        <f>IF(OR(C337="",B337="",B337=0),"",5.51*(C337/(B337^3)))</f>
        <v/>
      </c>
      <c r="H337">
        <v>3300</v>
      </c>
      <c r="I337">
        <v>5.8759938696200768E-3</v>
      </c>
      <c r="J337">
        <v>-0.03</v>
      </c>
      <c r="K337" t="s">
        <v>58</v>
      </c>
      <c r="L337">
        <f>IF(AND(B337&gt;=0.8,B337&lt;=1.5),1,IF(AND(B337&gt;=0.5,B337&lt;=2),0.5,0))</f>
        <v>1</v>
      </c>
      <c r="M337">
        <f>IF(AND(C337&gt;=0.5,C337&lt;=2),1,IF(AND(C337&gt;=0.1,C337&lt;=5),0.5,0))</f>
        <v>0</v>
      </c>
      <c r="N337">
        <f>IF(AND(G337&gt;=4,G337&lt;=7),1,IF(AND(G337&gt;=3,G337&lt;=8),0.5,0))</f>
        <v>0</v>
      </c>
      <c r="O337">
        <f>IF(AND(F337&gt;=270,F337&lt;=310),1,IF(AND(F337&gt;=250,F337&lt;=330),0.5,0))</f>
        <v>0</v>
      </c>
      <c r="P337">
        <f>IF(AND(E337&gt;=0.8,E337&lt;=1.5),1,IF(AND(E337&gt;=0.5,E337&lt;=2),0.5,0))</f>
        <v>0</v>
      </c>
      <c r="Q337">
        <f>IF(AND(H337&gt;=5000,H337&lt;=6000),1,IF(AND(H337&gt;=4000,H337&lt;5000),0.5,0))</f>
        <v>0</v>
      </c>
      <c r="R337">
        <f>0.35*AVERAGE(L337:M337:N337)+0.3*O337+0.2*P337+0.15*Q337</f>
        <v>0.11666666666666665</v>
      </c>
      <c r="S337" t="str">
        <f>LEFT(K337,1)</f>
        <v>M</v>
      </c>
      <c r="T337">
        <f>IF(S337="G",1,0)</f>
        <v>0</v>
      </c>
      <c r="U337">
        <f>IF(S337="K",1,0)</f>
        <v>0</v>
      </c>
      <c r="V337">
        <f>IF(S337="M",1,0)</f>
        <v>1</v>
      </c>
      <c r="W337">
        <f>IF(S337="F",1,0)</f>
        <v>0</v>
      </c>
    </row>
    <row r="338" spans="1:23" x14ac:dyDescent="0.3">
      <c r="A338" t="s">
        <v>421</v>
      </c>
      <c r="B338">
        <v>1.9139999999999999</v>
      </c>
      <c r="D338">
        <v>6.3878399999999997</v>
      </c>
      <c r="E338">
        <v>0.04</v>
      </c>
      <c r="F338">
        <v>349</v>
      </c>
      <c r="G338" t="str">
        <f>IF(OR(C338="",B338="",B338=0),"",5.51*(C338/(B338^3)))</f>
        <v/>
      </c>
      <c r="H338">
        <v>3300</v>
      </c>
      <c r="I338">
        <v>5.8759938696200768E-3</v>
      </c>
      <c r="J338">
        <v>-0.03</v>
      </c>
      <c r="K338" t="s">
        <v>58</v>
      </c>
      <c r="L338">
        <f>IF(AND(B338&gt;=0.8,B338&lt;=1.5),1,IF(AND(B338&gt;=0.5,B338&lt;=2),0.5,0))</f>
        <v>0.5</v>
      </c>
      <c r="M338">
        <f>IF(AND(C338&gt;=0.5,C338&lt;=2),1,IF(AND(C338&gt;=0.1,C338&lt;=5),0.5,0))</f>
        <v>0</v>
      </c>
      <c r="N338">
        <f>IF(AND(G338&gt;=4,G338&lt;=7),1,IF(AND(G338&gt;=3,G338&lt;=8),0.5,0))</f>
        <v>0</v>
      </c>
      <c r="O338">
        <f>IF(AND(F338&gt;=270,F338&lt;=310),1,IF(AND(F338&gt;=250,F338&lt;=330),0.5,0))</f>
        <v>0</v>
      </c>
      <c r="P338">
        <f>IF(AND(E338&gt;=0.8,E338&lt;=1.5),1,IF(AND(E338&gt;=0.5,E338&lt;=2),0.5,0))</f>
        <v>0</v>
      </c>
      <c r="Q338">
        <f>IF(AND(H338&gt;=5000,H338&lt;=6000),1,IF(AND(H338&gt;=4000,H338&lt;5000),0.5,0))</f>
        <v>0</v>
      </c>
      <c r="R338">
        <f>0.35*AVERAGE(L338:M338:N338)+0.3*O338+0.2*P338+0.15*Q338</f>
        <v>5.8333333333333327E-2</v>
      </c>
      <c r="S338" t="str">
        <f>LEFT(K338,1)</f>
        <v>M</v>
      </c>
      <c r="T338">
        <f>IF(S338="G",1,0)</f>
        <v>0</v>
      </c>
      <c r="U338">
        <f>IF(S338="K",1,0)</f>
        <v>0</v>
      </c>
      <c r="V338">
        <f>IF(S338="M",1,0)</f>
        <v>1</v>
      </c>
      <c r="W338">
        <f>IF(S338="F",1,0)</f>
        <v>0</v>
      </c>
    </row>
    <row r="339" spans="1:23" x14ac:dyDescent="0.3">
      <c r="A339" t="s">
        <v>420</v>
      </c>
      <c r="B339">
        <v>13.574075629999999</v>
      </c>
      <c r="C339">
        <v>263.79757781000001</v>
      </c>
      <c r="D339">
        <v>2.4545466999999999</v>
      </c>
      <c r="E339">
        <v>3.5150000000000001E-2</v>
      </c>
      <c r="F339">
        <v>1397</v>
      </c>
      <c r="G339">
        <f>IF(OR(C339="",B339="",B339=0),"",5.51*(C339/(B339^3)))</f>
        <v>0.58115450482410758</v>
      </c>
      <c r="H339">
        <v>5627</v>
      </c>
      <c r="I339">
        <v>0.78132070864245695</v>
      </c>
      <c r="J339">
        <v>7.0000000000000007E-2</v>
      </c>
      <c r="L339">
        <f>IF(AND(B339&gt;=0.8,B339&lt;=1.5),1,IF(AND(B339&gt;=0.5,B339&lt;=2),0.5,0))</f>
        <v>0</v>
      </c>
      <c r="M339">
        <f>IF(AND(C339&gt;=0.5,C339&lt;=2),1,IF(AND(C339&gt;=0.1,C339&lt;=5),0.5,0))</f>
        <v>0</v>
      </c>
      <c r="N339">
        <f>IF(AND(G339&gt;=4,G339&lt;=7),1,IF(AND(G339&gt;=3,G339&lt;=8),0.5,0))</f>
        <v>0</v>
      </c>
      <c r="O339">
        <f>IF(AND(F339&gt;=270,F339&lt;=310),1,IF(AND(F339&gt;=250,F339&lt;=330),0.5,0))</f>
        <v>0</v>
      </c>
      <c r="P339">
        <f>IF(AND(E339&gt;=0.8,E339&lt;=1.5),1,IF(AND(E339&gt;=0.5,E339&lt;=2),0.5,0))</f>
        <v>0</v>
      </c>
      <c r="Q339">
        <f>IF(AND(H339&gt;=5000,H339&lt;=6000),1,IF(AND(H339&gt;=4000,H339&lt;5000),0.5,0))</f>
        <v>1</v>
      </c>
      <c r="R339">
        <f>0.35*AVERAGE(L339:M339:N339)+0.3*O339+0.2*P339+0.15*Q339</f>
        <v>0.15</v>
      </c>
      <c r="S339" t="str">
        <f>LEFT(K339,1)</f>
        <v/>
      </c>
      <c r="T339">
        <f>IF(S339="G",1,0)</f>
        <v>0</v>
      </c>
      <c r="U339">
        <f>IF(S339="K",1,0)</f>
        <v>0</v>
      </c>
      <c r="V339">
        <f>IF(S339="M",1,0)</f>
        <v>0</v>
      </c>
      <c r="W339">
        <f>IF(S339="F",1,0)</f>
        <v>0</v>
      </c>
    </row>
    <row r="340" spans="1:23" x14ac:dyDescent="0.3">
      <c r="A340" t="s">
        <v>419</v>
      </c>
      <c r="B340">
        <v>15.098497</v>
      </c>
      <c r="C340">
        <v>1595.4986031399999</v>
      </c>
      <c r="D340">
        <v>0.67247414000000005</v>
      </c>
      <c r="E340">
        <v>1.7909999999999999E-2</v>
      </c>
      <c r="F340">
        <v>3646</v>
      </c>
      <c r="G340">
        <f>IF(OR(C340="",B340="",B340=0),"",5.51*(C340/(B340^3)))</f>
        <v>2.5541528064161727</v>
      </c>
      <c r="H340">
        <v>6540</v>
      </c>
      <c r="I340">
        <v>4.7323430037018808</v>
      </c>
      <c r="J340">
        <v>6.8000000000000005E-2</v>
      </c>
      <c r="K340" t="s">
        <v>18</v>
      </c>
      <c r="L340">
        <f>IF(AND(B340&gt;=0.8,B340&lt;=1.5),1,IF(AND(B340&gt;=0.5,B340&lt;=2),0.5,0))</f>
        <v>0</v>
      </c>
      <c r="M340">
        <f>IF(AND(C340&gt;=0.5,C340&lt;=2),1,IF(AND(C340&gt;=0.1,C340&lt;=5),0.5,0))</f>
        <v>0</v>
      </c>
      <c r="N340">
        <f>IF(AND(G340&gt;=4,G340&lt;=7),1,IF(AND(G340&gt;=3,G340&lt;=8),0.5,0))</f>
        <v>0</v>
      </c>
      <c r="O340">
        <f>IF(AND(F340&gt;=270,F340&lt;=310),1,IF(AND(F340&gt;=250,F340&lt;=330),0.5,0))</f>
        <v>0</v>
      </c>
      <c r="P340">
        <f>IF(AND(E340&gt;=0.8,E340&lt;=1.5),1,IF(AND(E340&gt;=0.5,E340&lt;=2),0.5,0))</f>
        <v>0</v>
      </c>
      <c r="Q340">
        <f>IF(AND(H340&gt;=5000,H340&lt;=6000),1,IF(AND(H340&gt;=4000,H340&lt;5000),0.5,0))</f>
        <v>0</v>
      </c>
      <c r="R340">
        <f>0.35*AVERAGE(L340:M340:N340)+0.3*O340+0.2*P340+0.15*Q340</f>
        <v>0</v>
      </c>
      <c r="S340" t="str">
        <f>LEFT(K340,1)</f>
        <v>F</v>
      </c>
      <c r="T340">
        <f>IF(S340="G",1,0)</f>
        <v>0</v>
      </c>
      <c r="U340">
        <f>IF(S340="K",1,0)</f>
        <v>0</v>
      </c>
      <c r="V340">
        <f>IF(S340="M",1,0)</f>
        <v>0</v>
      </c>
      <c r="W340">
        <f>IF(S340="F",1,0)</f>
        <v>1</v>
      </c>
    </row>
    <row r="341" spans="1:23" x14ac:dyDescent="0.3">
      <c r="A341" t="s">
        <v>418</v>
      </c>
      <c r="B341">
        <v>2.1219999999999999</v>
      </c>
      <c r="C341">
        <v>6.8</v>
      </c>
      <c r="D341">
        <v>5.7998164000000001</v>
      </c>
      <c r="E341">
        <v>3.7699999999999997E-2</v>
      </c>
      <c r="F341">
        <v>384</v>
      </c>
      <c r="G341">
        <f>IF(OR(C341="",B341="",B341=0),"",5.51*(C341/(B341^3)))</f>
        <v>3.9212485657982095</v>
      </c>
      <c r="H341">
        <v>3131</v>
      </c>
      <c r="I341">
        <v>5.1755235509932124E-3</v>
      </c>
      <c r="J341">
        <v>0.39</v>
      </c>
      <c r="L341">
        <f>IF(AND(B341&gt;=0.8,B341&lt;=1.5),1,IF(AND(B341&gt;=0.5,B341&lt;=2),0.5,0))</f>
        <v>0</v>
      </c>
      <c r="M341">
        <f>IF(AND(C341&gt;=0.5,C341&lt;=2),1,IF(AND(C341&gt;=0.1,C341&lt;=5),0.5,0))</f>
        <v>0</v>
      </c>
      <c r="N341">
        <f>IF(AND(G341&gt;=4,G341&lt;=7),1,IF(AND(G341&gt;=3,G341&lt;=8),0.5,0))</f>
        <v>0.5</v>
      </c>
      <c r="O341">
        <f>IF(AND(F341&gt;=270,F341&lt;=310),1,IF(AND(F341&gt;=250,F341&lt;=330),0.5,0))</f>
        <v>0</v>
      </c>
      <c r="P341">
        <f>IF(AND(E341&gt;=0.8,E341&lt;=1.5),1,IF(AND(E341&gt;=0.5,E341&lt;=2),0.5,0))</f>
        <v>0</v>
      </c>
      <c r="Q341">
        <f>IF(AND(H341&gt;=5000,H341&lt;=6000),1,IF(AND(H341&gt;=4000,H341&lt;5000),0.5,0))</f>
        <v>0</v>
      </c>
      <c r="R341">
        <f>0.35*AVERAGE(L341:M341:N341)+0.3*O341+0.2*P341+0.15*Q341</f>
        <v>5.8333333333333327E-2</v>
      </c>
      <c r="S341" t="str">
        <f>LEFT(K341,1)</f>
        <v/>
      </c>
      <c r="T341">
        <f>IF(S341="G",1,0)</f>
        <v>0</v>
      </c>
      <c r="U341">
        <f>IF(S341="K",1,0)</f>
        <v>0</v>
      </c>
      <c r="V341">
        <f>IF(S341="M",1,0)</f>
        <v>0</v>
      </c>
      <c r="W341">
        <f>IF(S341="F",1,0)</f>
        <v>0</v>
      </c>
    </row>
    <row r="342" spans="1:23" x14ac:dyDescent="0.3">
      <c r="A342" t="s">
        <v>417</v>
      </c>
      <c r="B342">
        <v>2.0887483599999999</v>
      </c>
      <c r="C342">
        <v>4.5</v>
      </c>
      <c r="D342">
        <v>16.341360000000002</v>
      </c>
      <c r="E342">
        <v>0.127</v>
      </c>
      <c r="F342">
        <v>780.53</v>
      </c>
      <c r="G342">
        <f>IF(OR(C342="",B342="",B342=0),"",5.51*(C342/(B342^3)))</f>
        <v>2.7208571861700466</v>
      </c>
      <c r="H342">
        <v>5968</v>
      </c>
      <c r="I342">
        <v>1.4210928091098123</v>
      </c>
      <c r="J342">
        <v>-7.0000000000000007E-2</v>
      </c>
      <c r="L342">
        <f>IF(AND(B342&gt;=0.8,B342&lt;=1.5),1,IF(AND(B342&gt;=0.5,B342&lt;=2),0.5,0))</f>
        <v>0</v>
      </c>
      <c r="M342">
        <f>IF(AND(C342&gt;=0.5,C342&lt;=2),1,IF(AND(C342&gt;=0.1,C342&lt;=5),0.5,0))</f>
        <v>0.5</v>
      </c>
      <c r="N342">
        <f>IF(AND(G342&gt;=4,G342&lt;=7),1,IF(AND(G342&gt;=3,G342&lt;=8),0.5,0))</f>
        <v>0</v>
      </c>
      <c r="O342">
        <f>IF(AND(F342&gt;=270,F342&lt;=310),1,IF(AND(F342&gt;=250,F342&lt;=330),0.5,0))</f>
        <v>0</v>
      </c>
      <c r="P342">
        <f>IF(AND(E342&gt;=0.8,E342&lt;=1.5),1,IF(AND(E342&gt;=0.5,E342&lt;=2),0.5,0))</f>
        <v>0</v>
      </c>
      <c r="Q342">
        <f>IF(AND(H342&gt;=5000,H342&lt;=6000),1,IF(AND(H342&gt;=4000,H342&lt;5000),0.5,0))</f>
        <v>1</v>
      </c>
      <c r="R342">
        <f>0.35*AVERAGE(L342:M342:N342)+0.3*O342+0.2*P342+0.15*Q342</f>
        <v>0.20833333333333331</v>
      </c>
      <c r="S342" t="str">
        <f>LEFT(K342,1)</f>
        <v/>
      </c>
      <c r="T342">
        <f>IF(S342="G",1,0)</f>
        <v>0</v>
      </c>
      <c r="U342">
        <f>IF(S342="K",1,0)</f>
        <v>0</v>
      </c>
      <c r="V342">
        <f>IF(S342="M",1,0)</f>
        <v>0</v>
      </c>
      <c r="W342">
        <f>IF(S342="F",1,0)</f>
        <v>0</v>
      </c>
    </row>
    <row r="343" spans="1:23" x14ac:dyDescent="0.3">
      <c r="A343" t="s">
        <v>416</v>
      </c>
      <c r="B343">
        <v>2.69</v>
      </c>
      <c r="C343">
        <v>9.1300000000000008</v>
      </c>
      <c r="D343">
        <v>9.2292004999999993</v>
      </c>
      <c r="E343">
        <v>7.8E-2</v>
      </c>
      <c r="F343">
        <v>666</v>
      </c>
      <c r="G343">
        <f>IF(OR(C343="",B343="",B343=0),"",5.51*(C343/(B343^3)))</f>
        <v>2.5844345387431433</v>
      </c>
      <c r="H343">
        <v>4580</v>
      </c>
      <c r="I343">
        <v>0.19844686038335355</v>
      </c>
      <c r="J343">
        <v>0.12</v>
      </c>
      <c r="K343" t="s">
        <v>360</v>
      </c>
      <c r="L343">
        <f>IF(AND(B343&gt;=0.8,B343&lt;=1.5),1,IF(AND(B343&gt;=0.5,B343&lt;=2),0.5,0))</f>
        <v>0</v>
      </c>
      <c r="M343">
        <f>IF(AND(C343&gt;=0.5,C343&lt;=2),1,IF(AND(C343&gt;=0.1,C343&lt;=5),0.5,0))</f>
        <v>0</v>
      </c>
      <c r="N343">
        <f>IF(AND(G343&gt;=4,G343&lt;=7),1,IF(AND(G343&gt;=3,G343&lt;=8),0.5,0))</f>
        <v>0</v>
      </c>
      <c r="O343">
        <f>IF(AND(F343&gt;=270,F343&lt;=310),1,IF(AND(F343&gt;=250,F343&lt;=330),0.5,0))</f>
        <v>0</v>
      </c>
      <c r="P343">
        <f>IF(AND(E343&gt;=0.8,E343&lt;=1.5),1,IF(AND(E343&gt;=0.5,E343&lt;=2),0.5,0))</f>
        <v>0</v>
      </c>
      <c r="Q343">
        <f>IF(AND(H343&gt;=5000,H343&lt;=6000),1,IF(AND(H343&gt;=4000,H343&lt;5000),0.5,0))</f>
        <v>0.5</v>
      </c>
      <c r="R343">
        <f>0.35*AVERAGE(L343:M343:N343)+0.3*O343+0.2*P343+0.15*Q343</f>
        <v>7.4999999999999997E-2</v>
      </c>
      <c r="S343" t="str">
        <f>LEFT(K343,1)</f>
        <v>K</v>
      </c>
      <c r="T343">
        <f>IF(S343="G",1,0)</f>
        <v>0</v>
      </c>
      <c r="U343">
        <f>IF(S343="K",1,0)</f>
        <v>1</v>
      </c>
      <c r="V343">
        <f>IF(S343="M",1,0)</f>
        <v>0</v>
      </c>
      <c r="W343">
        <f>IF(S343="F",1,0)</f>
        <v>0</v>
      </c>
    </row>
    <row r="344" spans="1:23" x14ac:dyDescent="0.3">
      <c r="A344" t="s">
        <v>415</v>
      </c>
      <c r="B344">
        <v>7.27</v>
      </c>
      <c r="C344">
        <v>41.89</v>
      </c>
      <c r="D344">
        <v>95.5</v>
      </c>
      <c r="E344">
        <v>0.371</v>
      </c>
      <c r="F344">
        <v>306</v>
      </c>
      <c r="G344">
        <f>IF(OR(C344="",B344="",B344=0),"",5.51*(C344/(B344^3)))</f>
        <v>0.60070151413444017</v>
      </c>
      <c r="H344">
        <v>4580</v>
      </c>
      <c r="I344">
        <v>0.19844686038335355</v>
      </c>
      <c r="J344">
        <v>0.12</v>
      </c>
      <c r="K344" t="s">
        <v>360</v>
      </c>
      <c r="L344">
        <f>IF(AND(B344&gt;=0.8,B344&lt;=1.5),1,IF(AND(B344&gt;=0.5,B344&lt;=2),0.5,0))</f>
        <v>0</v>
      </c>
      <c r="M344">
        <f>IF(AND(C344&gt;=0.5,C344&lt;=2),1,IF(AND(C344&gt;=0.1,C344&lt;=5),0.5,0))</f>
        <v>0</v>
      </c>
      <c r="N344">
        <f>IF(AND(G344&gt;=4,G344&lt;=7),1,IF(AND(G344&gt;=3,G344&lt;=8),0.5,0))</f>
        <v>0</v>
      </c>
      <c r="O344">
        <f>IF(AND(F344&gt;=270,F344&lt;=310),1,IF(AND(F344&gt;=250,F344&lt;=330),0.5,0))</f>
        <v>1</v>
      </c>
      <c r="P344">
        <f>IF(AND(E344&gt;=0.8,E344&lt;=1.5),1,IF(AND(E344&gt;=0.5,E344&lt;=2),0.5,0))</f>
        <v>0</v>
      </c>
      <c r="Q344">
        <f>IF(AND(H344&gt;=5000,H344&lt;=6000),1,IF(AND(H344&gt;=4000,H344&lt;5000),0.5,0))</f>
        <v>0.5</v>
      </c>
      <c r="R344">
        <f>0.35*AVERAGE(L344:M344:N344)+0.3*O344+0.2*P344+0.15*Q344</f>
        <v>0.375</v>
      </c>
      <c r="S344" t="str">
        <f>LEFT(K344,1)</f>
        <v>K</v>
      </c>
      <c r="T344">
        <f>IF(S344="G",1,0)</f>
        <v>0</v>
      </c>
      <c r="U344">
        <f>IF(S344="K",1,0)</f>
        <v>1</v>
      </c>
      <c r="V344">
        <f>IF(S344="M",1,0)</f>
        <v>0</v>
      </c>
      <c r="W344">
        <f>IF(S344="F",1,0)</f>
        <v>0</v>
      </c>
    </row>
    <row r="345" spans="1:23" x14ac:dyDescent="0.3">
      <c r="A345" t="s">
        <v>414</v>
      </c>
      <c r="B345">
        <v>2.19</v>
      </c>
      <c r="C345">
        <v>6.37</v>
      </c>
      <c r="D345">
        <v>7.851928</v>
      </c>
      <c r="E345">
        <v>5.7000000000000002E-2</v>
      </c>
      <c r="F345">
        <v>395</v>
      </c>
      <c r="G345">
        <f>IF(OR(C345="",B345="",B345=0),"",5.51*(C345/(B345^3)))</f>
        <v>3.3416325041112644</v>
      </c>
      <c r="H345">
        <v>3342</v>
      </c>
      <c r="I345">
        <v>1.2938188263929996E-2</v>
      </c>
      <c r="J345">
        <v>0.03</v>
      </c>
      <c r="K345" t="s">
        <v>376</v>
      </c>
      <c r="L345">
        <f>IF(AND(B345&gt;=0.8,B345&lt;=1.5),1,IF(AND(B345&gt;=0.5,B345&lt;=2),0.5,0))</f>
        <v>0</v>
      </c>
      <c r="M345">
        <f>IF(AND(C345&gt;=0.5,C345&lt;=2),1,IF(AND(C345&gt;=0.1,C345&lt;=5),0.5,0))</f>
        <v>0</v>
      </c>
      <c r="N345">
        <f>IF(AND(G345&gt;=4,G345&lt;=7),1,IF(AND(G345&gt;=3,G345&lt;=8),0.5,0))</f>
        <v>0.5</v>
      </c>
      <c r="O345">
        <f>IF(AND(F345&gt;=270,F345&lt;=310),1,IF(AND(F345&gt;=250,F345&lt;=330),0.5,0))</f>
        <v>0</v>
      </c>
      <c r="P345">
        <f>IF(AND(E345&gt;=0.8,E345&lt;=1.5),1,IF(AND(E345&gt;=0.5,E345&lt;=2),0.5,0))</f>
        <v>0</v>
      </c>
      <c r="Q345">
        <f>IF(AND(H345&gt;=5000,H345&lt;=6000),1,IF(AND(H345&gt;=4000,H345&lt;5000),0.5,0))</f>
        <v>0</v>
      </c>
      <c r="R345">
        <f>0.35*AVERAGE(L345:M345:N345)+0.3*O345+0.2*P345+0.15*Q345</f>
        <v>5.8333333333333327E-2</v>
      </c>
      <c r="S345" t="str">
        <f>LEFT(K345,1)</f>
        <v>M</v>
      </c>
      <c r="T345">
        <f>IF(S345="G",1,0)</f>
        <v>0</v>
      </c>
      <c r="U345">
        <f>IF(S345="K",1,0)</f>
        <v>0</v>
      </c>
      <c r="V345">
        <f>IF(S345="M",1,0)</f>
        <v>1</v>
      </c>
      <c r="W345">
        <f>IF(S345="F",1,0)</f>
        <v>0</v>
      </c>
    </row>
    <row r="346" spans="1:23" x14ac:dyDescent="0.3">
      <c r="A346" t="s">
        <v>413</v>
      </c>
      <c r="B346">
        <v>3.1469999999999998</v>
      </c>
      <c r="C346">
        <v>20.100000000000001</v>
      </c>
      <c r="D346">
        <v>18.261607999999999</v>
      </c>
      <c r="E346">
        <v>0.13220000000000001</v>
      </c>
      <c r="F346">
        <v>728</v>
      </c>
      <c r="G346">
        <f>IF(OR(C346="",B346="",B346=0),"",5.51*(C346/(B346^3)))</f>
        <v>3.5535090639177236</v>
      </c>
      <c r="H346">
        <v>5635</v>
      </c>
      <c r="I346">
        <v>0.81641832108869528</v>
      </c>
      <c r="J346">
        <v>-0.14000000000000001</v>
      </c>
      <c r="L346">
        <f>IF(AND(B346&gt;=0.8,B346&lt;=1.5),1,IF(AND(B346&gt;=0.5,B346&lt;=2),0.5,0))</f>
        <v>0</v>
      </c>
      <c r="M346">
        <f>IF(AND(C346&gt;=0.5,C346&lt;=2),1,IF(AND(C346&gt;=0.1,C346&lt;=5),0.5,0))</f>
        <v>0</v>
      </c>
      <c r="N346">
        <f>IF(AND(G346&gt;=4,G346&lt;=7),1,IF(AND(G346&gt;=3,G346&lt;=8),0.5,0))</f>
        <v>0.5</v>
      </c>
      <c r="O346">
        <f>IF(AND(F346&gt;=270,F346&lt;=310),1,IF(AND(F346&gt;=250,F346&lt;=330),0.5,0))</f>
        <v>0</v>
      </c>
      <c r="P346">
        <f>IF(AND(E346&gt;=0.8,E346&lt;=1.5),1,IF(AND(E346&gt;=0.5,E346&lt;=2),0.5,0))</f>
        <v>0</v>
      </c>
      <c r="Q346">
        <f>IF(AND(H346&gt;=5000,H346&lt;=6000),1,IF(AND(H346&gt;=4000,H346&lt;5000),0.5,0))</f>
        <v>1</v>
      </c>
      <c r="R346">
        <f>0.35*AVERAGE(L346:M346:N346)+0.3*O346+0.2*P346+0.15*Q346</f>
        <v>0.20833333333333331</v>
      </c>
      <c r="S346" t="str">
        <f>LEFT(K346,1)</f>
        <v/>
      </c>
      <c r="T346">
        <f>IF(S346="G",1,0)</f>
        <v>0</v>
      </c>
      <c r="U346">
        <f>IF(S346="K",1,0)</f>
        <v>0</v>
      </c>
      <c r="V346">
        <f>IF(S346="M",1,0)</f>
        <v>0</v>
      </c>
      <c r="W346">
        <f>IF(S346="F",1,0)</f>
        <v>0</v>
      </c>
    </row>
    <row r="347" spans="1:23" x14ac:dyDescent="0.3">
      <c r="A347" t="s">
        <v>412</v>
      </c>
      <c r="B347">
        <v>12.41899699</v>
      </c>
      <c r="C347">
        <v>1767</v>
      </c>
      <c r="D347">
        <v>10.261127</v>
      </c>
      <c r="E347">
        <v>0.111</v>
      </c>
      <c r="F347">
        <v>1363.43</v>
      </c>
      <c r="G347">
        <f>IF(OR(C347="",B347="",B347=0),"",5.51*(C347/(B347^3)))</f>
        <v>5.0830991714860314</v>
      </c>
      <c r="H347">
        <v>6200</v>
      </c>
      <c r="I347">
        <v>10.029514406505962</v>
      </c>
      <c r="J347">
        <v>0.28499999999999998</v>
      </c>
      <c r="L347">
        <f>IF(AND(B347&gt;=0.8,B347&lt;=1.5),1,IF(AND(B347&gt;=0.5,B347&lt;=2),0.5,0))</f>
        <v>0</v>
      </c>
      <c r="M347">
        <f>IF(AND(C347&gt;=0.5,C347&lt;=2),1,IF(AND(C347&gt;=0.1,C347&lt;=5),0.5,0))</f>
        <v>0</v>
      </c>
      <c r="N347">
        <f>IF(AND(G347&gt;=4,G347&lt;=7),1,IF(AND(G347&gt;=3,G347&lt;=8),0.5,0))</f>
        <v>1</v>
      </c>
      <c r="O347">
        <f>IF(AND(F347&gt;=270,F347&lt;=310),1,IF(AND(F347&gt;=250,F347&lt;=330),0.5,0))</f>
        <v>0</v>
      </c>
      <c r="P347">
        <f>IF(AND(E347&gt;=0.8,E347&lt;=1.5),1,IF(AND(E347&gt;=0.5,E347&lt;=2),0.5,0))</f>
        <v>0</v>
      </c>
      <c r="Q347">
        <f>IF(AND(H347&gt;=5000,H347&lt;=6000),1,IF(AND(H347&gt;=4000,H347&lt;5000),0.5,0))</f>
        <v>0</v>
      </c>
      <c r="R347">
        <f>0.35*AVERAGE(L347:M347:N347)+0.3*O347+0.2*P347+0.15*Q347</f>
        <v>0.11666666666666665</v>
      </c>
      <c r="S347" t="str">
        <f>LEFT(K347,1)</f>
        <v/>
      </c>
      <c r="T347">
        <f>IF(S347="G",1,0)</f>
        <v>0</v>
      </c>
      <c r="U347">
        <f>IF(S347="K",1,0)</f>
        <v>0</v>
      </c>
      <c r="V347">
        <f>IF(S347="M",1,0)</f>
        <v>0</v>
      </c>
      <c r="W347">
        <f>IF(S347="F",1,0)</f>
        <v>0</v>
      </c>
    </row>
    <row r="348" spans="1:23" x14ac:dyDescent="0.3">
      <c r="A348" t="s">
        <v>411</v>
      </c>
      <c r="B348">
        <v>14.35870428</v>
      </c>
      <c r="C348">
        <v>899.45439180999995</v>
      </c>
      <c r="D348">
        <v>3.3773512000000001</v>
      </c>
      <c r="E348">
        <v>5.0639999999999998E-2</v>
      </c>
      <c r="F348">
        <v>1802</v>
      </c>
      <c r="G348">
        <f>IF(OR(C348="",B348="",B348=0),"",5.51*(C348/(B348^3)))</f>
        <v>1.6741138596652894</v>
      </c>
      <c r="H348">
        <v>6630</v>
      </c>
      <c r="I348">
        <v>4.5047846919295784</v>
      </c>
      <c r="J348">
        <v>0.28199999999999997</v>
      </c>
      <c r="K348" t="s">
        <v>410</v>
      </c>
      <c r="L348">
        <f>IF(AND(B348&gt;=0.8,B348&lt;=1.5),1,IF(AND(B348&gt;=0.5,B348&lt;=2),0.5,0))</f>
        <v>0</v>
      </c>
      <c r="M348">
        <f>IF(AND(C348&gt;=0.5,C348&lt;=2),1,IF(AND(C348&gt;=0.1,C348&lt;=5),0.5,0))</f>
        <v>0</v>
      </c>
      <c r="N348">
        <f>IF(AND(G348&gt;=4,G348&lt;=7),1,IF(AND(G348&gt;=3,G348&lt;=8),0.5,0))</f>
        <v>0</v>
      </c>
      <c r="O348">
        <f>IF(AND(F348&gt;=270,F348&lt;=310),1,IF(AND(F348&gt;=250,F348&lt;=330),0.5,0))</f>
        <v>0</v>
      </c>
      <c r="P348">
        <f>IF(AND(E348&gt;=0.8,E348&lt;=1.5),1,IF(AND(E348&gt;=0.5,E348&lt;=2),0.5,0))</f>
        <v>0</v>
      </c>
      <c r="Q348">
        <f>IF(AND(H348&gt;=5000,H348&lt;=6000),1,IF(AND(H348&gt;=4000,H348&lt;5000),0.5,0))</f>
        <v>0</v>
      </c>
      <c r="R348">
        <f>0.35*AVERAGE(L348:M348:N348)+0.3*O348+0.2*P348+0.15*Q348</f>
        <v>0</v>
      </c>
      <c r="S348" t="str">
        <f>LEFT(K348,1)</f>
        <v>F</v>
      </c>
      <c r="T348">
        <f>IF(S348="G",1,0)</f>
        <v>0</v>
      </c>
      <c r="U348">
        <f>IF(S348="K",1,0)</f>
        <v>0</v>
      </c>
      <c r="V348">
        <f>IF(S348="M",1,0)</f>
        <v>0</v>
      </c>
      <c r="W348">
        <f>IF(S348="F",1,0)</f>
        <v>1</v>
      </c>
    </row>
    <row r="349" spans="1:23" x14ac:dyDescent="0.3">
      <c r="A349" t="s">
        <v>409</v>
      </c>
      <c r="B349">
        <v>16.286648960000001</v>
      </c>
      <c r="C349">
        <v>292.40213444</v>
      </c>
      <c r="D349">
        <v>3.8240801000000002</v>
      </c>
      <c r="E349">
        <v>5.1299999999999998E-2</v>
      </c>
      <c r="F349">
        <v>1580</v>
      </c>
      <c r="G349">
        <f>IF(OR(C349="",B349="",B349=0),"",5.51*(C349/(B349^3)))</f>
        <v>0.37293825129118668</v>
      </c>
      <c r="H349">
        <v>6280</v>
      </c>
      <c r="I349">
        <v>2.719563861527508</v>
      </c>
      <c r="J349">
        <v>1.0999999999999999E-2</v>
      </c>
      <c r="L349">
        <f>IF(AND(B349&gt;=0.8,B349&lt;=1.5),1,IF(AND(B349&gt;=0.5,B349&lt;=2),0.5,0))</f>
        <v>0</v>
      </c>
      <c r="M349">
        <f>IF(AND(C349&gt;=0.5,C349&lt;=2),1,IF(AND(C349&gt;=0.1,C349&lt;=5),0.5,0))</f>
        <v>0</v>
      </c>
      <c r="N349">
        <f>IF(AND(G349&gt;=4,G349&lt;=7),1,IF(AND(G349&gt;=3,G349&lt;=8),0.5,0))</f>
        <v>0</v>
      </c>
      <c r="O349">
        <f>IF(AND(F349&gt;=270,F349&lt;=310),1,IF(AND(F349&gt;=250,F349&lt;=330),0.5,0))</f>
        <v>0</v>
      </c>
      <c r="P349">
        <f>IF(AND(E349&gt;=0.8,E349&lt;=1.5),1,IF(AND(E349&gt;=0.5,E349&lt;=2),0.5,0))</f>
        <v>0</v>
      </c>
      <c r="Q349">
        <f>IF(AND(H349&gt;=5000,H349&lt;=6000),1,IF(AND(H349&gt;=4000,H349&lt;5000),0.5,0))</f>
        <v>0</v>
      </c>
      <c r="R349">
        <f>0.35*AVERAGE(L349:M349:N349)+0.3*O349+0.2*P349+0.15*Q349</f>
        <v>0</v>
      </c>
      <c r="S349" t="str">
        <f>LEFT(K349,1)</f>
        <v/>
      </c>
      <c r="T349">
        <f>IF(S349="G",1,0)</f>
        <v>0</v>
      </c>
      <c r="U349">
        <f>IF(S349="K",1,0)</f>
        <v>0</v>
      </c>
      <c r="V349">
        <f>IF(S349="M",1,0)</f>
        <v>0</v>
      </c>
      <c r="W349">
        <f>IF(S349="F",1,0)</f>
        <v>0</v>
      </c>
    </row>
    <row r="350" spans="1:23" x14ac:dyDescent="0.3">
      <c r="A350" t="s">
        <v>408</v>
      </c>
      <c r="B350">
        <v>10.76062147</v>
      </c>
      <c r="C350">
        <v>260.61929373999999</v>
      </c>
      <c r="D350">
        <v>8.6007700000000007</v>
      </c>
      <c r="E350">
        <v>7.4999999999999997E-2</v>
      </c>
      <c r="F350">
        <v>1188</v>
      </c>
      <c r="G350">
        <f>IF(OR(C350="",B350="",B350=0),"",5.51*(C350/(B350^3)))</f>
        <v>1.152513707414824</v>
      </c>
      <c r="H350">
        <v>5673</v>
      </c>
      <c r="I350">
        <v>1.847477719545735</v>
      </c>
      <c r="J350">
        <v>0.47</v>
      </c>
      <c r="L350">
        <f>IF(AND(B350&gt;=0.8,B350&lt;=1.5),1,IF(AND(B350&gt;=0.5,B350&lt;=2),0.5,0))</f>
        <v>0</v>
      </c>
      <c r="M350">
        <f>IF(AND(C350&gt;=0.5,C350&lt;=2),1,IF(AND(C350&gt;=0.1,C350&lt;=5),0.5,0))</f>
        <v>0</v>
      </c>
      <c r="N350">
        <f>IF(AND(G350&gt;=4,G350&lt;=7),1,IF(AND(G350&gt;=3,G350&lt;=8),0.5,0))</f>
        <v>0</v>
      </c>
      <c r="O350">
        <f>IF(AND(F350&gt;=270,F350&lt;=310),1,IF(AND(F350&gt;=250,F350&lt;=330),0.5,0))</f>
        <v>0</v>
      </c>
      <c r="P350">
        <f>IF(AND(E350&gt;=0.8,E350&lt;=1.5),1,IF(AND(E350&gt;=0.5,E350&lt;=2),0.5,0))</f>
        <v>0</v>
      </c>
      <c r="Q350">
        <f>IF(AND(H350&gt;=5000,H350&lt;=6000),1,IF(AND(H350&gt;=4000,H350&lt;5000),0.5,0))</f>
        <v>1</v>
      </c>
      <c r="R350">
        <f>0.35*AVERAGE(L350:M350:N350)+0.3*O350+0.2*P350+0.15*Q350</f>
        <v>0.15</v>
      </c>
      <c r="S350" t="str">
        <f>LEFT(K350,1)</f>
        <v/>
      </c>
      <c r="T350">
        <f>IF(S350="G",1,0)</f>
        <v>0</v>
      </c>
      <c r="U350">
        <f>IF(S350="K",1,0)</f>
        <v>0</v>
      </c>
      <c r="V350">
        <f>IF(S350="M",1,0)</f>
        <v>0</v>
      </c>
      <c r="W350">
        <f>IF(S350="F",1,0)</f>
        <v>0</v>
      </c>
    </row>
    <row r="351" spans="1:23" x14ac:dyDescent="0.3">
      <c r="A351" t="s">
        <v>407</v>
      </c>
      <c r="B351">
        <v>12.50922246</v>
      </c>
      <c r="C351">
        <v>329.58805805999998</v>
      </c>
      <c r="D351">
        <v>8.2148281999999995</v>
      </c>
      <c r="E351">
        <v>8.9599999999999999E-2</v>
      </c>
      <c r="F351">
        <v>1364</v>
      </c>
      <c r="G351">
        <f>IF(OR(C351="",B351="",B351=0),"",5.51*(C351/(B351^3)))</f>
        <v>0.92775246852442139</v>
      </c>
      <c r="H351">
        <v>6270</v>
      </c>
      <c r="I351">
        <v>4.5930670915290701</v>
      </c>
      <c r="J351">
        <v>0.123</v>
      </c>
      <c r="L351">
        <f>IF(AND(B351&gt;=0.8,B351&lt;=1.5),1,IF(AND(B351&gt;=0.5,B351&lt;=2),0.5,0))</f>
        <v>0</v>
      </c>
      <c r="M351">
        <f>IF(AND(C351&gt;=0.5,C351&lt;=2),1,IF(AND(C351&gt;=0.1,C351&lt;=5),0.5,0))</f>
        <v>0</v>
      </c>
      <c r="N351">
        <f>IF(AND(G351&gt;=4,G351&lt;=7),1,IF(AND(G351&gt;=3,G351&lt;=8),0.5,0))</f>
        <v>0</v>
      </c>
      <c r="O351">
        <f>IF(AND(F351&gt;=270,F351&lt;=310),1,IF(AND(F351&gt;=250,F351&lt;=330),0.5,0))</f>
        <v>0</v>
      </c>
      <c r="P351">
        <f>IF(AND(E351&gt;=0.8,E351&lt;=1.5),1,IF(AND(E351&gt;=0.5,E351&lt;=2),0.5,0))</f>
        <v>0</v>
      </c>
      <c r="Q351">
        <f>IF(AND(H351&gt;=5000,H351&lt;=6000),1,IF(AND(H351&gt;=4000,H351&lt;5000),0.5,0))</f>
        <v>0</v>
      </c>
      <c r="R351">
        <f>0.35*AVERAGE(L351:M351:N351)+0.3*O351+0.2*P351+0.15*Q351</f>
        <v>0</v>
      </c>
      <c r="S351" t="str">
        <f>LEFT(K351,1)</f>
        <v/>
      </c>
      <c r="T351">
        <f>IF(S351="G",1,0)</f>
        <v>0</v>
      </c>
      <c r="U351">
        <f>IF(S351="K",1,0)</f>
        <v>0</v>
      </c>
      <c r="V351">
        <f>IF(S351="M",1,0)</f>
        <v>0</v>
      </c>
      <c r="W351">
        <f>IF(S351="F",1,0)</f>
        <v>0</v>
      </c>
    </row>
    <row r="352" spans="1:23" x14ac:dyDescent="0.3">
      <c r="A352" t="s">
        <v>406</v>
      </c>
      <c r="B352">
        <v>11.32107051</v>
      </c>
      <c r="C352">
        <v>875.61726128999999</v>
      </c>
      <c r="D352">
        <v>260.79000000000002</v>
      </c>
      <c r="E352">
        <v>0.82799999999999996</v>
      </c>
      <c r="F352">
        <v>348</v>
      </c>
      <c r="G352">
        <f>IF(OR(C352="",B352="",B352=0),"",5.51*(C352/(B352^3)))</f>
        <v>3.3250901725864153</v>
      </c>
      <c r="H352">
        <v>5695</v>
      </c>
      <c r="I352">
        <v>2.5259884608875876</v>
      </c>
      <c r="J352">
        <v>0.253</v>
      </c>
      <c r="K352" t="s">
        <v>405</v>
      </c>
      <c r="L352">
        <f>IF(AND(B352&gt;=0.8,B352&lt;=1.5),1,IF(AND(B352&gt;=0.5,B352&lt;=2),0.5,0))</f>
        <v>0</v>
      </c>
      <c r="M352">
        <f>IF(AND(C352&gt;=0.5,C352&lt;=2),1,IF(AND(C352&gt;=0.1,C352&lt;=5),0.5,0))</f>
        <v>0</v>
      </c>
      <c r="N352">
        <f>IF(AND(G352&gt;=4,G352&lt;=7),1,IF(AND(G352&gt;=3,G352&lt;=8),0.5,0))</f>
        <v>0.5</v>
      </c>
      <c r="O352">
        <f>IF(AND(F352&gt;=270,F352&lt;=310),1,IF(AND(F352&gt;=250,F352&lt;=330),0.5,0))</f>
        <v>0</v>
      </c>
      <c r="P352">
        <f>IF(AND(E352&gt;=0.8,E352&lt;=1.5),1,IF(AND(E352&gt;=0.5,E352&lt;=2),0.5,0))</f>
        <v>1</v>
      </c>
      <c r="Q352">
        <f>IF(AND(H352&gt;=5000,H352&lt;=6000),1,IF(AND(H352&gt;=4000,H352&lt;5000),0.5,0))</f>
        <v>1</v>
      </c>
      <c r="R352">
        <f>0.35*AVERAGE(L352:M352:N352)+0.3*O352+0.2*P352+0.15*Q352</f>
        <v>0.40833333333333333</v>
      </c>
      <c r="S352" t="str">
        <f>LEFT(K352,1)</f>
        <v>G</v>
      </c>
      <c r="T352">
        <f>IF(S352="G",1,0)</f>
        <v>1</v>
      </c>
      <c r="U352">
        <f>IF(S352="K",1,0)</f>
        <v>0</v>
      </c>
      <c r="V352">
        <f>IF(S352="M",1,0)</f>
        <v>0</v>
      </c>
      <c r="W352">
        <f>IF(S352="F",1,0)</f>
        <v>0</v>
      </c>
    </row>
    <row r="353" spans="1:23" x14ac:dyDescent="0.3">
      <c r="A353" t="s">
        <v>404</v>
      </c>
      <c r="B353">
        <v>11.39953337</v>
      </c>
      <c r="C353">
        <v>206.58846455</v>
      </c>
      <c r="D353">
        <v>6.9068300000000002</v>
      </c>
      <c r="G353">
        <f>IF(OR(C353="",B353="",B353=0),"",5.51*(C353/(B353^3)))</f>
        <v>0.7684160792109187</v>
      </c>
      <c r="H353">
        <v>5966</v>
      </c>
      <c r="I353">
        <v>9.5591404332304997</v>
      </c>
      <c r="J353">
        <v>0.14000000000000001</v>
      </c>
      <c r="L353">
        <f>IF(AND(B353&gt;=0.8,B353&lt;=1.5),1,IF(AND(B353&gt;=0.5,B353&lt;=2),0.5,0))</f>
        <v>0</v>
      </c>
      <c r="M353">
        <f>IF(AND(C353&gt;=0.5,C353&lt;=2),1,IF(AND(C353&gt;=0.1,C353&lt;=5),0.5,0))</f>
        <v>0</v>
      </c>
      <c r="N353">
        <f>IF(AND(G353&gt;=4,G353&lt;=7),1,IF(AND(G353&gt;=3,G353&lt;=8),0.5,0))</f>
        <v>0</v>
      </c>
      <c r="O353">
        <f>IF(AND(F353&gt;=270,F353&lt;=310),1,IF(AND(F353&gt;=250,F353&lt;=330),0.5,0))</f>
        <v>0</v>
      </c>
      <c r="P353">
        <f>IF(AND(E353&gt;=0.8,E353&lt;=1.5),1,IF(AND(E353&gt;=0.5,E353&lt;=2),0.5,0))</f>
        <v>0</v>
      </c>
      <c r="Q353">
        <f>IF(AND(H353&gt;=5000,H353&lt;=6000),1,IF(AND(H353&gt;=4000,H353&lt;5000),0.5,0))</f>
        <v>1</v>
      </c>
      <c r="R353">
        <f>0.35*AVERAGE(L353:M353:N353)+0.3*O353+0.2*P353+0.15*Q353</f>
        <v>0.15</v>
      </c>
      <c r="S353" t="str">
        <f>LEFT(K353,1)</f>
        <v/>
      </c>
      <c r="T353">
        <f>IF(S353="G",1,0)</f>
        <v>0</v>
      </c>
      <c r="U353">
        <f>IF(S353="K",1,0)</f>
        <v>0</v>
      </c>
      <c r="V353">
        <f>IF(S353="M",1,0)</f>
        <v>0</v>
      </c>
      <c r="W353">
        <f>IF(S353="F",1,0)</f>
        <v>0</v>
      </c>
    </row>
    <row r="354" spans="1:23" x14ac:dyDescent="0.3">
      <c r="A354" t="s">
        <v>403</v>
      </c>
      <c r="B354">
        <v>19.839895840000001</v>
      </c>
      <c r="C354">
        <v>298.75870257999998</v>
      </c>
      <c r="D354">
        <v>2.1225735000000001</v>
      </c>
      <c r="E354">
        <v>3.3189999999999997E-2</v>
      </c>
      <c r="F354">
        <v>1763</v>
      </c>
      <c r="G354">
        <f>IF(OR(C354="",B354="",B354=0),"",5.51*(C354/(B354^3)))</f>
        <v>0.21079193974122507</v>
      </c>
      <c r="H354">
        <v>5966</v>
      </c>
      <c r="I354">
        <v>1.7703209823208363</v>
      </c>
      <c r="J354">
        <v>2.7E-2</v>
      </c>
      <c r="L354">
        <f>IF(AND(B354&gt;=0.8,B354&lt;=1.5),1,IF(AND(B354&gt;=0.5,B354&lt;=2),0.5,0))</f>
        <v>0</v>
      </c>
      <c r="M354">
        <f>IF(AND(C354&gt;=0.5,C354&lt;=2),1,IF(AND(C354&gt;=0.1,C354&lt;=5),0.5,0))</f>
        <v>0</v>
      </c>
      <c r="N354">
        <f>IF(AND(G354&gt;=4,G354&lt;=7),1,IF(AND(G354&gt;=3,G354&lt;=8),0.5,0))</f>
        <v>0</v>
      </c>
      <c r="O354">
        <f>IF(AND(F354&gt;=270,F354&lt;=310),1,IF(AND(F354&gt;=250,F354&lt;=330),0.5,0))</f>
        <v>0</v>
      </c>
      <c r="P354">
        <f>IF(AND(E354&gt;=0.8,E354&lt;=1.5),1,IF(AND(E354&gt;=0.5,E354&lt;=2),0.5,0))</f>
        <v>0</v>
      </c>
      <c r="Q354">
        <f>IF(AND(H354&gt;=5000,H354&lt;=6000),1,IF(AND(H354&gt;=4000,H354&lt;5000),0.5,0))</f>
        <v>1</v>
      </c>
      <c r="R354">
        <f>0.35*AVERAGE(L354:M354:N354)+0.3*O354+0.2*P354+0.15*Q354</f>
        <v>0.15</v>
      </c>
      <c r="S354" t="str">
        <f>LEFT(K354,1)</f>
        <v/>
      </c>
      <c r="T354">
        <f>IF(S354="G",1,0)</f>
        <v>0</v>
      </c>
      <c r="U354">
        <f>IF(S354="K",1,0)</f>
        <v>0</v>
      </c>
      <c r="V354">
        <f>IF(S354="M",1,0)</f>
        <v>0</v>
      </c>
      <c r="W354">
        <f>IF(S354="F",1,0)</f>
        <v>0</v>
      </c>
    </row>
    <row r="355" spans="1:23" x14ac:dyDescent="0.3">
      <c r="A355" t="s">
        <v>402</v>
      </c>
      <c r="B355">
        <v>1.9892000000000001</v>
      </c>
      <c r="D355">
        <v>15.337597000000001</v>
      </c>
      <c r="F355">
        <v>590.88</v>
      </c>
      <c r="G355" t="str">
        <f>IF(OR(C355="",B355="",B355=0),"",5.51*(C355/(B355^3)))</f>
        <v/>
      </c>
      <c r="H355">
        <v>4756</v>
      </c>
      <c r="I355">
        <v>0.21912282539323921</v>
      </c>
      <c r="J355">
        <v>-0.372</v>
      </c>
      <c r="L355">
        <f>IF(AND(B355&gt;=0.8,B355&lt;=1.5),1,IF(AND(B355&gt;=0.5,B355&lt;=2),0.5,0))</f>
        <v>0.5</v>
      </c>
      <c r="M355">
        <f>IF(AND(C355&gt;=0.5,C355&lt;=2),1,IF(AND(C355&gt;=0.1,C355&lt;=5),0.5,0))</f>
        <v>0</v>
      </c>
      <c r="N355">
        <f>IF(AND(G355&gt;=4,G355&lt;=7),1,IF(AND(G355&gt;=3,G355&lt;=8),0.5,0))</f>
        <v>0</v>
      </c>
      <c r="O355">
        <f>IF(AND(F355&gt;=270,F355&lt;=310),1,IF(AND(F355&gt;=250,F355&lt;=330),0.5,0))</f>
        <v>0</v>
      </c>
      <c r="P355">
        <f>IF(AND(E355&gt;=0.8,E355&lt;=1.5),1,IF(AND(E355&gt;=0.5,E355&lt;=2),0.5,0))</f>
        <v>0</v>
      </c>
      <c r="Q355">
        <f>IF(AND(H355&gt;=5000,H355&lt;=6000),1,IF(AND(H355&gt;=4000,H355&lt;5000),0.5,0))</f>
        <v>0.5</v>
      </c>
      <c r="R355">
        <f>0.35*AVERAGE(L355:M355:N355)+0.3*O355+0.2*P355+0.15*Q355</f>
        <v>0.13333333333333333</v>
      </c>
      <c r="S355" t="str">
        <f>LEFT(K355,1)</f>
        <v/>
      </c>
      <c r="T355">
        <f>IF(S355="G",1,0)</f>
        <v>0</v>
      </c>
      <c r="U355">
        <f>IF(S355="K",1,0)</f>
        <v>0</v>
      </c>
      <c r="V355">
        <f>IF(S355="M",1,0)</f>
        <v>0</v>
      </c>
      <c r="W355">
        <f>IF(S355="F",1,0)</f>
        <v>0</v>
      </c>
    </row>
    <row r="356" spans="1:23" x14ac:dyDescent="0.3">
      <c r="A356" t="s">
        <v>401</v>
      </c>
      <c r="B356">
        <v>3.51</v>
      </c>
      <c r="C356">
        <v>26</v>
      </c>
      <c r="D356">
        <v>1.1947268</v>
      </c>
      <c r="E356">
        <v>2.2339999999999999E-2</v>
      </c>
      <c r="F356">
        <v>1860</v>
      </c>
      <c r="G356">
        <f>IF(OR(C356="",B356="",B356=0),"",5.51*(C356/(B356^3)))</f>
        <v>3.3128639227615704</v>
      </c>
      <c r="H356">
        <v>5634</v>
      </c>
      <c r="I356">
        <v>0.98339011263350029</v>
      </c>
      <c r="J356">
        <v>0.14000000000000001</v>
      </c>
      <c r="K356" t="s">
        <v>12</v>
      </c>
      <c r="L356">
        <f>IF(AND(B356&gt;=0.8,B356&lt;=1.5),1,IF(AND(B356&gt;=0.5,B356&lt;=2),0.5,0))</f>
        <v>0</v>
      </c>
      <c r="M356">
        <f>IF(AND(C356&gt;=0.5,C356&lt;=2),1,IF(AND(C356&gt;=0.1,C356&lt;=5),0.5,0))</f>
        <v>0</v>
      </c>
      <c r="N356">
        <f>IF(AND(G356&gt;=4,G356&lt;=7),1,IF(AND(G356&gt;=3,G356&lt;=8),0.5,0))</f>
        <v>0.5</v>
      </c>
      <c r="O356">
        <f>IF(AND(F356&gt;=270,F356&lt;=310),1,IF(AND(F356&gt;=250,F356&lt;=330),0.5,0))</f>
        <v>0</v>
      </c>
      <c r="P356">
        <f>IF(AND(E356&gt;=0.8,E356&lt;=1.5),1,IF(AND(E356&gt;=0.5,E356&lt;=2),0.5,0))</f>
        <v>0</v>
      </c>
      <c r="Q356">
        <f>IF(AND(H356&gt;=5000,H356&lt;=6000),1,IF(AND(H356&gt;=4000,H356&lt;5000),0.5,0))</f>
        <v>1</v>
      </c>
      <c r="R356">
        <f>0.35*AVERAGE(L356:M356:N356)+0.3*O356+0.2*P356+0.15*Q356</f>
        <v>0.20833333333333331</v>
      </c>
      <c r="S356" t="str">
        <f>LEFT(K356,1)</f>
        <v>G</v>
      </c>
      <c r="T356">
        <f>IF(S356="G",1,0)</f>
        <v>1</v>
      </c>
      <c r="U356">
        <f>IF(S356="K",1,0)</f>
        <v>0</v>
      </c>
      <c r="V356">
        <f>IF(S356="M",1,0)</f>
        <v>0</v>
      </c>
      <c r="W356">
        <f>IF(S356="F",1,0)</f>
        <v>0</v>
      </c>
    </row>
    <row r="357" spans="1:23" x14ac:dyDescent="0.3">
      <c r="A357" t="s">
        <v>400</v>
      </c>
      <c r="B357">
        <v>3.03</v>
      </c>
      <c r="C357">
        <v>13.8</v>
      </c>
      <c r="D357">
        <v>10.695264</v>
      </c>
      <c r="E357">
        <v>8.9109999999999995E-2</v>
      </c>
      <c r="F357">
        <v>805</v>
      </c>
      <c r="G357">
        <f>IF(OR(C357="",B357="",B357=0),"",5.51*(C357/(B357^3)))</f>
        <v>2.7333975432637865</v>
      </c>
      <c r="H357">
        <v>5298</v>
      </c>
      <c r="I357">
        <v>0.52036998865780115</v>
      </c>
      <c r="J357">
        <v>-0.217</v>
      </c>
      <c r="K357" t="s">
        <v>49</v>
      </c>
      <c r="L357">
        <f>IF(AND(B357&gt;=0.8,B357&lt;=1.5),1,IF(AND(B357&gt;=0.5,B357&lt;=2),0.5,0))</f>
        <v>0</v>
      </c>
      <c r="M357">
        <f>IF(AND(C357&gt;=0.5,C357&lt;=2),1,IF(AND(C357&gt;=0.1,C357&lt;=5),0.5,0))</f>
        <v>0</v>
      </c>
      <c r="N357">
        <f>IF(AND(G357&gt;=4,G357&lt;=7),1,IF(AND(G357&gt;=3,G357&lt;=8),0.5,0))</f>
        <v>0</v>
      </c>
      <c r="O357">
        <f>IF(AND(F357&gt;=270,F357&lt;=310),1,IF(AND(F357&gt;=250,F357&lt;=330),0.5,0))</f>
        <v>0</v>
      </c>
      <c r="P357">
        <f>IF(AND(E357&gt;=0.8,E357&lt;=1.5),1,IF(AND(E357&gt;=0.5,E357&lt;=2),0.5,0))</f>
        <v>0</v>
      </c>
      <c r="Q357">
        <f>IF(AND(H357&gt;=5000,H357&lt;=6000),1,IF(AND(H357&gt;=4000,H357&lt;5000),0.5,0))</f>
        <v>1</v>
      </c>
      <c r="R357">
        <f>0.35*AVERAGE(L357:M357:N357)+0.3*O357+0.2*P357+0.15*Q357</f>
        <v>0.15</v>
      </c>
      <c r="S357" t="str">
        <f>LEFT(K357,1)</f>
        <v>K</v>
      </c>
      <c r="T357">
        <f>IF(S357="G",1,0)</f>
        <v>0</v>
      </c>
      <c r="U357">
        <f>IF(S357="K",1,0)</f>
        <v>1</v>
      </c>
      <c r="V357">
        <f>IF(S357="M",1,0)</f>
        <v>0</v>
      </c>
      <c r="W357">
        <f>IF(S357="F",1,0)</f>
        <v>0</v>
      </c>
    </row>
    <row r="358" spans="1:23" x14ac:dyDescent="0.3">
      <c r="A358" t="s">
        <v>399</v>
      </c>
      <c r="B358">
        <v>10.951174139999999</v>
      </c>
      <c r="C358">
        <v>287.31687993000003</v>
      </c>
      <c r="D358">
        <v>11.9126075</v>
      </c>
      <c r="G358">
        <f>IF(OR(C358="",B358="",B358=0),"",5.51*(C358/(B358^3)))</f>
        <v>1.205398608119975</v>
      </c>
      <c r="H358">
        <v>5169</v>
      </c>
      <c r="I358">
        <v>0.41815635380070615</v>
      </c>
      <c r="J358">
        <v>5.8999999999999997E-2</v>
      </c>
      <c r="L358">
        <f>IF(AND(B358&gt;=0.8,B358&lt;=1.5),1,IF(AND(B358&gt;=0.5,B358&lt;=2),0.5,0))</f>
        <v>0</v>
      </c>
      <c r="M358">
        <f>IF(AND(C358&gt;=0.5,C358&lt;=2),1,IF(AND(C358&gt;=0.1,C358&lt;=5),0.5,0))</f>
        <v>0</v>
      </c>
      <c r="N358">
        <f>IF(AND(G358&gt;=4,G358&lt;=7),1,IF(AND(G358&gt;=3,G358&lt;=8),0.5,0))</f>
        <v>0</v>
      </c>
      <c r="O358">
        <f>IF(AND(F358&gt;=270,F358&lt;=310),1,IF(AND(F358&gt;=250,F358&lt;=330),0.5,0))</f>
        <v>0</v>
      </c>
      <c r="P358">
        <f>IF(AND(E358&gt;=0.8,E358&lt;=1.5),1,IF(AND(E358&gt;=0.5,E358&lt;=2),0.5,0))</f>
        <v>0</v>
      </c>
      <c r="Q358">
        <f>IF(AND(H358&gt;=5000,H358&lt;=6000),1,IF(AND(H358&gt;=4000,H358&lt;5000),0.5,0))</f>
        <v>1</v>
      </c>
      <c r="R358">
        <f>0.35*AVERAGE(L358:M358:N358)+0.3*O358+0.2*P358+0.15*Q358</f>
        <v>0.15</v>
      </c>
      <c r="S358" t="str">
        <f>LEFT(K358,1)</f>
        <v/>
      </c>
      <c r="T358">
        <f>IF(S358="G",1,0)</f>
        <v>0</v>
      </c>
      <c r="U358">
        <f>IF(S358="K",1,0)</f>
        <v>0</v>
      </c>
      <c r="V358">
        <f>IF(S358="M",1,0)</f>
        <v>0</v>
      </c>
      <c r="W358">
        <f>IF(S358="F",1,0)</f>
        <v>0</v>
      </c>
    </row>
    <row r="359" spans="1:23" x14ac:dyDescent="0.3">
      <c r="A359" t="s">
        <v>398</v>
      </c>
      <c r="B359">
        <v>11.1529358</v>
      </c>
      <c r="C359">
        <v>203.41018048000001</v>
      </c>
      <c r="D359">
        <v>8.0019679999999997</v>
      </c>
      <c r="E359">
        <v>8.5400000000000004E-2</v>
      </c>
      <c r="F359">
        <v>1259</v>
      </c>
      <c r="G359">
        <f>IF(OR(C359="",B359="",B359=0),"",5.51*(C359/(B359^3)))</f>
        <v>0.80789826823271971</v>
      </c>
      <c r="H359">
        <v>6101</v>
      </c>
      <c r="I359">
        <v>3.0406571041728054</v>
      </c>
      <c r="J359">
        <v>0.18099999999999999</v>
      </c>
      <c r="L359">
        <f>IF(AND(B359&gt;=0.8,B359&lt;=1.5),1,IF(AND(B359&gt;=0.5,B359&lt;=2),0.5,0))</f>
        <v>0</v>
      </c>
      <c r="M359">
        <f>IF(AND(C359&gt;=0.5,C359&lt;=2),1,IF(AND(C359&gt;=0.1,C359&lt;=5),0.5,0))</f>
        <v>0</v>
      </c>
      <c r="N359">
        <f>IF(AND(G359&gt;=4,G359&lt;=7),1,IF(AND(G359&gt;=3,G359&lt;=8),0.5,0))</f>
        <v>0</v>
      </c>
      <c r="O359">
        <f>IF(AND(F359&gt;=270,F359&lt;=310),1,IF(AND(F359&gt;=250,F359&lt;=330),0.5,0))</f>
        <v>0</v>
      </c>
      <c r="P359">
        <f>IF(AND(E359&gt;=0.8,E359&lt;=1.5),1,IF(AND(E359&gt;=0.5,E359&lt;=2),0.5,0))</f>
        <v>0</v>
      </c>
      <c r="Q359">
        <f>IF(AND(H359&gt;=5000,H359&lt;=6000),1,IF(AND(H359&gt;=4000,H359&lt;5000),0.5,0))</f>
        <v>0</v>
      </c>
      <c r="R359">
        <f>0.35*AVERAGE(L359:M359:N359)+0.3*O359+0.2*P359+0.15*Q359</f>
        <v>0</v>
      </c>
      <c r="S359" t="str">
        <f>LEFT(K359,1)</f>
        <v/>
      </c>
      <c r="T359">
        <f>IF(S359="G",1,0)</f>
        <v>0</v>
      </c>
      <c r="U359">
        <f>IF(S359="K",1,0)</f>
        <v>0</v>
      </c>
      <c r="V359">
        <f>IF(S359="M",1,0)</f>
        <v>0</v>
      </c>
      <c r="W359">
        <f>IF(S359="F",1,0)</f>
        <v>0</v>
      </c>
    </row>
    <row r="360" spans="1:23" x14ac:dyDescent="0.3">
      <c r="A360" t="s">
        <v>397</v>
      </c>
      <c r="B360">
        <v>1.5609999999999999</v>
      </c>
      <c r="D360">
        <v>3.0926867570000001</v>
      </c>
      <c r="E360">
        <v>4.011E-2</v>
      </c>
      <c r="G360" t="str">
        <f>IF(OR(C360="",B360="",B360=0),"",5.51*(C360/(B360^3)))</f>
        <v/>
      </c>
      <c r="H360">
        <v>5253</v>
      </c>
      <c r="I360">
        <v>0.47517278008717218</v>
      </c>
      <c r="L360">
        <f>IF(AND(B360&gt;=0.8,B360&lt;=1.5),1,IF(AND(B360&gt;=0.5,B360&lt;=2),0.5,0))</f>
        <v>0.5</v>
      </c>
      <c r="M360">
        <f>IF(AND(C360&gt;=0.5,C360&lt;=2),1,IF(AND(C360&gt;=0.1,C360&lt;=5),0.5,0))</f>
        <v>0</v>
      </c>
      <c r="N360">
        <f>IF(AND(G360&gt;=4,G360&lt;=7),1,IF(AND(G360&gt;=3,G360&lt;=8),0.5,0))</f>
        <v>0</v>
      </c>
      <c r="O360">
        <f>IF(AND(F360&gt;=270,F360&lt;=310),1,IF(AND(F360&gt;=250,F360&lt;=330),0.5,0))</f>
        <v>0</v>
      </c>
      <c r="P360">
        <f>IF(AND(E360&gt;=0.8,E360&lt;=1.5),1,IF(AND(E360&gt;=0.5,E360&lt;=2),0.5,0))</f>
        <v>0</v>
      </c>
      <c r="Q360">
        <f>IF(AND(H360&gt;=5000,H360&lt;=6000),1,IF(AND(H360&gt;=4000,H360&lt;5000),0.5,0))</f>
        <v>1</v>
      </c>
      <c r="R360">
        <f>0.35*AVERAGE(L360:M360:N360)+0.3*O360+0.2*P360+0.15*Q360</f>
        <v>0.20833333333333331</v>
      </c>
      <c r="S360" t="str">
        <f>LEFT(K360,1)</f>
        <v/>
      </c>
      <c r="T360">
        <f>IF(S360="G",1,0)</f>
        <v>0</v>
      </c>
      <c r="U360">
        <f>IF(S360="K",1,0)</f>
        <v>0</v>
      </c>
      <c r="V360">
        <f>IF(S360="M",1,0)</f>
        <v>0</v>
      </c>
      <c r="W360">
        <f>IF(S360="F",1,0)</f>
        <v>0</v>
      </c>
    </row>
    <row r="361" spans="1:23" x14ac:dyDescent="0.3">
      <c r="A361" t="s">
        <v>396</v>
      </c>
      <c r="B361">
        <v>14.369913260000001</v>
      </c>
      <c r="C361">
        <v>502.16888305999998</v>
      </c>
      <c r="D361">
        <v>3.5315902000000001</v>
      </c>
      <c r="E361">
        <v>5.0090000000000003E-2</v>
      </c>
      <c r="F361">
        <v>1688</v>
      </c>
      <c r="G361">
        <f>IF(OR(C361="",B361="",B361=0),"",5.51*(C361/(B361^3)))</f>
        <v>0.93247877889477448</v>
      </c>
      <c r="H361">
        <v>6248</v>
      </c>
      <c r="I361">
        <v>3.3830730746957127</v>
      </c>
      <c r="J361">
        <v>0.11899999999999999</v>
      </c>
      <c r="L361">
        <f>IF(AND(B361&gt;=0.8,B361&lt;=1.5),1,IF(AND(B361&gt;=0.5,B361&lt;=2),0.5,0))</f>
        <v>0</v>
      </c>
      <c r="M361">
        <f>IF(AND(C361&gt;=0.5,C361&lt;=2),1,IF(AND(C361&gt;=0.1,C361&lt;=5),0.5,0))</f>
        <v>0</v>
      </c>
      <c r="N361">
        <f>IF(AND(G361&gt;=4,G361&lt;=7),1,IF(AND(G361&gt;=3,G361&lt;=8),0.5,0))</f>
        <v>0</v>
      </c>
      <c r="O361">
        <f>IF(AND(F361&gt;=270,F361&lt;=310),1,IF(AND(F361&gt;=250,F361&lt;=330),0.5,0))</f>
        <v>0</v>
      </c>
      <c r="P361">
        <f>IF(AND(E361&gt;=0.8,E361&lt;=1.5),1,IF(AND(E361&gt;=0.5,E361&lt;=2),0.5,0))</f>
        <v>0</v>
      </c>
      <c r="Q361">
        <f>IF(AND(H361&gt;=5000,H361&lt;=6000),1,IF(AND(H361&gt;=4000,H361&lt;5000),0.5,0))</f>
        <v>0</v>
      </c>
      <c r="R361">
        <f>0.35*AVERAGE(L361:M361:N361)+0.3*O361+0.2*P361+0.15*Q361</f>
        <v>0</v>
      </c>
      <c r="S361" t="str">
        <f>LEFT(K361,1)</f>
        <v/>
      </c>
      <c r="T361">
        <f>IF(S361="G",1,0)</f>
        <v>0</v>
      </c>
      <c r="U361">
        <f>IF(S361="K",1,0)</f>
        <v>0</v>
      </c>
      <c r="V361">
        <f>IF(S361="M",1,0)</f>
        <v>0</v>
      </c>
      <c r="W361">
        <f>IF(S361="F",1,0)</f>
        <v>0</v>
      </c>
    </row>
    <row r="362" spans="1:23" x14ac:dyDescent="0.3">
      <c r="A362" t="s">
        <v>395</v>
      </c>
      <c r="B362">
        <v>2.194</v>
      </c>
      <c r="D362">
        <v>35.189346</v>
      </c>
      <c r="E362">
        <v>0.14499999999999999</v>
      </c>
      <c r="F362">
        <v>256</v>
      </c>
      <c r="G362" t="str">
        <f>IF(OR(C362="",B362="",B362=0),"",5.51*(C362/(B362^3)))</f>
        <v/>
      </c>
      <c r="H362">
        <v>3430</v>
      </c>
      <c r="I362">
        <v>1.2166201503901228E-2</v>
      </c>
      <c r="J362">
        <v>-0.27</v>
      </c>
      <c r="K362" t="s">
        <v>10</v>
      </c>
      <c r="L362">
        <f>IF(AND(B362&gt;=0.8,B362&lt;=1.5),1,IF(AND(B362&gt;=0.5,B362&lt;=2),0.5,0))</f>
        <v>0</v>
      </c>
      <c r="M362">
        <f>IF(AND(C362&gt;=0.5,C362&lt;=2),1,IF(AND(C362&gt;=0.1,C362&lt;=5),0.5,0))</f>
        <v>0</v>
      </c>
      <c r="N362">
        <f>IF(AND(G362&gt;=4,G362&lt;=7),1,IF(AND(G362&gt;=3,G362&lt;=8),0.5,0))</f>
        <v>0</v>
      </c>
      <c r="O362">
        <f>IF(AND(F362&gt;=270,F362&lt;=310),1,IF(AND(F362&gt;=250,F362&lt;=330),0.5,0))</f>
        <v>0.5</v>
      </c>
      <c r="P362">
        <f>IF(AND(E362&gt;=0.8,E362&lt;=1.5),1,IF(AND(E362&gt;=0.5,E362&lt;=2),0.5,0))</f>
        <v>0</v>
      </c>
      <c r="Q362">
        <f>IF(AND(H362&gt;=5000,H362&lt;=6000),1,IF(AND(H362&gt;=4000,H362&lt;5000),0.5,0))</f>
        <v>0</v>
      </c>
      <c r="R362">
        <f>0.35*AVERAGE(L362:M362:N362)+0.3*O362+0.2*P362+0.15*Q362</f>
        <v>0.15</v>
      </c>
      <c r="S362" t="str">
        <f>LEFT(K362,1)</f>
        <v>M</v>
      </c>
      <c r="T362">
        <f>IF(S362="G",1,0)</f>
        <v>0</v>
      </c>
      <c r="U362">
        <f>IF(S362="K",1,0)</f>
        <v>0</v>
      </c>
      <c r="V362">
        <f>IF(S362="M",1,0)</f>
        <v>1</v>
      </c>
      <c r="W362">
        <f>IF(S362="F",1,0)</f>
        <v>0</v>
      </c>
    </row>
    <row r="363" spans="1:23" x14ac:dyDescent="0.3">
      <c r="A363" t="s">
        <v>394</v>
      </c>
      <c r="B363">
        <v>1.62</v>
      </c>
      <c r="D363">
        <v>0.35247279999999998</v>
      </c>
      <c r="E363">
        <v>9.7000000000000003E-3</v>
      </c>
      <c r="F363">
        <v>2609</v>
      </c>
      <c r="G363" t="str">
        <f>IF(OR(C363="",B363="",B363=0),"",5.51*(C363/(B363^3)))</f>
        <v/>
      </c>
      <c r="H363">
        <v>5534</v>
      </c>
      <c r="I363">
        <v>0.74353630073349775</v>
      </c>
      <c r="J363">
        <v>0.22</v>
      </c>
      <c r="K363" t="s">
        <v>12</v>
      </c>
      <c r="L363">
        <f>IF(AND(B363&gt;=0.8,B363&lt;=1.5),1,IF(AND(B363&gt;=0.5,B363&lt;=2),0.5,0))</f>
        <v>0.5</v>
      </c>
      <c r="M363">
        <f>IF(AND(C363&gt;=0.5,C363&lt;=2),1,IF(AND(C363&gt;=0.1,C363&lt;=5),0.5,0))</f>
        <v>0</v>
      </c>
      <c r="N363">
        <f>IF(AND(G363&gt;=4,G363&lt;=7),1,IF(AND(G363&gt;=3,G363&lt;=8),0.5,0))</f>
        <v>0</v>
      </c>
      <c r="O363">
        <f>IF(AND(F363&gt;=270,F363&lt;=310),1,IF(AND(F363&gt;=250,F363&lt;=330),0.5,0))</f>
        <v>0</v>
      </c>
      <c r="P363">
        <f>IF(AND(E363&gt;=0.8,E363&lt;=1.5),1,IF(AND(E363&gt;=0.5,E363&lt;=2),0.5,0))</f>
        <v>0</v>
      </c>
      <c r="Q363">
        <f>IF(AND(H363&gt;=5000,H363&lt;=6000),1,IF(AND(H363&gt;=4000,H363&lt;5000),0.5,0))</f>
        <v>1</v>
      </c>
      <c r="R363">
        <f>0.35*AVERAGE(L363:M363:N363)+0.3*O363+0.2*P363+0.15*Q363</f>
        <v>0.20833333333333331</v>
      </c>
      <c r="S363" t="str">
        <f>LEFT(K363,1)</f>
        <v>G</v>
      </c>
      <c r="T363">
        <f>IF(S363="G",1,0)</f>
        <v>1</v>
      </c>
      <c r="U363">
        <f>IF(S363="K",1,0)</f>
        <v>0</v>
      </c>
      <c r="V363">
        <f>IF(S363="M",1,0)</f>
        <v>0</v>
      </c>
      <c r="W363">
        <f>IF(S363="F",1,0)</f>
        <v>0</v>
      </c>
    </row>
    <row r="364" spans="1:23" x14ac:dyDescent="0.3">
      <c r="A364" t="s">
        <v>393</v>
      </c>
      <c r="B364">
        <v>1.54</v>
      </c>
      <c r="D364">
        <v>2.3263180000000001</v>
      </c>
      <c r="E364">
        <v>0.02</v>
      </c>
      <c r="F364">
        <v>550</v>
      </c>
      <c r="G364" t="str">
        <f>IF(OR(C364="",B364="",B364=0),"",5.51*(C364/(B364^3)))</f>
        <v/>
      </c>
      <c r="H364">
        <v>3200</v>
      </c>
      <c r="I364">
        <v>5.4189138503137795E-3</v>
      </c>
      <c r="K364" t="s">
        <v>392</v>
      </c>
      <c r="L364">
        <f>IF(AND(B364&gt;=0.8,B364&lt;=1.5),1,IF(AND(B364&gt;=0.5,B364&lt;=2),0.5,0))</f>
        <v>0.5</v>
      </c>
      <c r="M364">
        <f>IF(AND(C364&gt;=0.5,C364&lt;=2),1,IF(AND(C364&gt;=0.1,C364&lt;=5),0.5,0))</f>
        <v>0</v>
      </c>
      <c r="N364">
        <f>IF(AND(G364&gt;=4,G364&lt;=7),1,IF(AND(G364&gt;=3,G364&lt;=8),0.5,0))</f>
        <v>0</v>
      </c>
      <c r="O364">
        <f>IF(AND(F364&gt;=270,F364&lt;=310),1,IF(AND(F364&gt;=250,F364&lt;=330),0.5,0))</f>
        <v>0</v>
      </c>
      <c r="P364">
        <f>IF(AND(E364&gt;=0.8,E364&lt;=1.5),1,IF(AND(E364&gt;=0.5,E364&lt;=2),0.5,0))</f>
        <v>0</v>
      </c>
      <c r="Q364">
        <f>IF(AND(H364&gt;=5000,H364&lt;=6000),1,IF(AND(H364&gt;=4000,H364&lt;5000),0.5,0))</f>
        <v>0</v>
      </c>
      <c r="R364">
        <f>0.35*AVERAGE(L364:M364:N364)+0.3*O364+0.2*P364+0.15*Q364</f>
        <v>5.8333333333333327E-2</v>
      </c>
      <c r="S364" t="str">
        <f>LEFT(K364,1)</f>
        <v>M</v>
      </c>
      <c r="T364">
        <f>IF(S364="G",1,0)</f>
        <v>0</v>
      </c>
      <c r="U364">
        <f>IF(S364="K",1,0)</f>
        <v>0</v>
      </c>
      <c r="V364">
        <f>IF(S364="M",1,0)</f>
        <v>1</v>
      </c>
      <c r="W364">
        <f>IF(S364="F",1,0)</f>
        <v>0</v>
      </c>
    </row>
    <row r="365" spans="1:23" x14ac:dyDescent="0.3">
      <c r="A365" t="s">
        <v>391</v>
      </c>
      <c r="B365">
        <v>2.4500000000000002</v>
      </c>
      <c r="D365">
        <v>2.67963</v>
      </c>
      <c r="E365">
        <v>0.05</v>
      </c>
      <c r="F365">
        <v>771.46</v>
      </c>
      <c r="G365" t="str">
        <f>IF(OR(C365="",B365="",B365=0),"",5.51*(C365/(B365^3)))</f>
        <v/>
      </c>
      <c r="H365">
        <v>3943</v>
      </c>
      <c r="I365">
        <v>8.6348674789240146E-2</v>
      </c>
      <c r="K365" t="s">
        <v>157</v>
      </c>
      <c r="L365">
        <f>IF(AND(B365&gt;=0.8,B365&lt;=1.5),1,IF(AND(B365&gt;=0.5,B365&lt;=2),0.5,0))</f>
        <v>0</v>
      </c>
      <c r="M365">
        <f>IF(AND(C365&gt;=0.5,C365&lt;=2),1,IF(AND(C365&gt;=0.1,C365&lt;=5),0.5,0))</f>
        <v>0</v>
      </c>
      <c r="N365">
        <f>IF(AND(G365&gt;=4,G365&lt;=7),1,IF(AND(G365&gt;=3,G365&lt;=8),0.5,0))</f>
        <v>0</v>
      </c>
      <c r="O365">
        <f>IF(AND(F365&gt;=270,F365&lt;=310),1,IF(AND(F365&gt;=250,F365&lt;=330),0.5,0))</f>
        <v>0</v>
      </c>
      <c r="P365">
        <f>IF(AND(E365&gt;=0.8,E365&lt;=1.5),1,IF(AND(E365&gt;=0.5,E365&lt;=2),0.5,0))</f>
        <v>0</v>
      </c>
      <c r="Q365">
        <f>IF(AND(H365&gt;=5000,H365&lt;=6000),1,IF(AND(H365&gt;=4000,H365&lt;5000),0.5,0))</f>
        <v>0</v>
      </c>
      <c r="R365">
        <f>0.35*AVERAGE(L365:M365:N365)+0.3*O365+0.2*P365+0.15*Q365</f>
        <v>0</v>
      </c>
      <c r="S365" t="str">
        <f>LEFT(K365,1)</f>
        <v>M</v>
      </c>
      <c r="T365">
        <f>IF(S365="G",1,0)</f>
        <v>0</v>
      </c>
      <c r="U365">
        <f>IF(S365="K",1,0)</f>
        <v>0</v>
      </c>
      <c r="V365">
        <f>IF(S365="M",1,0)</f>
        <v>1</v>
      </c>
      <c r="W365">
        <f>IF(S365="F",1,0)</f>
        <v>0</v>
      </c>
    </row>
    <row r="366" spans="1:23" x14ac:dyDescent="0.3">
      <c r="A366" t="s">
        <v>390</v>
      </c>
      <c r="B366">
        <v>1.77</v>
      </c>
      <c r="D366">
        <v>13.635109</v>
      </c>
      <c r="F366">
        <v>358</v>
      </c>
      <c r="G366" t="str">
        <f>IF(OR(C366="",B366="",B366=0),"",5.51*(C366/(B366^3)))</f>
        <v/>
      </c>
      <c r="H366">
        <v>3491</v>
      </c>
      <c r="I366">
        <v>2.8689647109217783E-2</v>
      </c>
      <c r="J366">
        <v>-0.05</v>
      </c>
      <c r="L366">
        <f>IF(AND(B366&gt;=0.8,B366&lt;=1.5),1,IF(AND(B366&gt;=0.5,B366&lt;=2),0.5,0))</f>
        <v>0.5</v>
      </c>
      <c r="M366">
        <f>IF(AND(C366&gt;=0.5,C366&lt;=2),1,IF(AND(C366&gt;=0.1,C366&lt;=5),0.5,0))</f>
        <v>0</v>
      </c>
      <c r="N366">
        <f>IF(AND(G366&gt;=4,G366&lt;=7),1,IF(AND(G366&gt;=3,G366&lt;=8),0.5,0))</f>
        <v>0</v>
      </c>
      <c r="O366">
        <f>IF(AND(F366&gt;=270,F366&lt;=310),1,IF(AND(F366&gt;=250,F366&lt;=330),0.5,0))</f>
        <v>0</v>
      </c>
      <c r="P366">
        <f>IF(AND(E366&gt;=0.8,E366&lt;=1.5),1,IF(AND(E366&gt;=0.5,E366&lt;=2),0.5,0))</f>
        <v>0</v>
      </c>
      <c r="Q366">
        <f>IF(AND(H366&gt;=5000,H366&lt;=6000),1,IF(AND(H366&gt;=4000,H366&lt;5000),0.5,0))</f>
        <v>0</v>
      </c>
      <c r="R366">
        <f>0.35*AVERAGE(L366:M366:N366)+0.3*O366+0.2*P366+0.15*Q366</f>
        <v>5.8333333333333327E-2</v>
      </c>
      <c r="S366" t="str">
        <f>LEFT(K366,1)</f>
        <v/>
      </c>
      <c r="T366">
        <f>IF(S366="G",1,0)</f>
        <v>0</v>
      </c>
      <c r="U366">
        <f>IF(S366="K",1,0)</f>
        <v>0</v>
      </c>
      <c r="V366">
        <f>IF(S366="M",1,0)</f>
        <v>0</v>
      </c>
      <c r="W366">
        <f>IF(S366="F",1,0)</f>
        <v>0</v>
      </c>
    </row>
    <row r="367" spans="1:23" x14ac:dyDescent="0.3">
      <c r="A367" t="s">
        <v>389</v>
      </c>
      <c r="B367">
        <v>16.47720163</v>
      </c>
      <c r="C367">
        <v>278.09985612000003</v>
      </c>
      <c r="D367">
        <v>30.033301999999999</v>
      </c>
      <c r="E367">
        <v>0.19919999999999999</v>
      </c>
      <c r="F367">
        <v>747</v>
      </c>
      <c r="G367">
        <f>IF(OR(C367="",B367="",B367=0),"",5.51*(C367/(B367^3)))</f>
        <v>0.34253266583134956</v>
      </c>
      <c r="H367">
        <v>5730</v>
      </c>
      <c r="I367">
        <v>2.0588225748971705</v>
      </c>
      <c r="J367">
        <v>0.316</v>
      </c>
      <c r="L367">
        <f>IF(AND(B367&gt;=0.8,B367&lt;=1.5),1,IF(AND(B367&gt;=0.5,B367&lt;=2),0.5,0))</f>
        <v>0</v>
      </c>
      <c r="M367">
        <f>IF(AND(C367&gt;=0.5,C367&lt;=2),1,IF(AND(C367&gt;=0.1,C367&lt;=5),0.5,0))</f>
        <v>0</v>
      </c>
      <c r="N367">
        <f>IF(AND(G367&gt;=4,G367&lt;=7),1,IF(AND(G367&gt;=3,G367&lt;=8),0.5,0))</f>
        <v>0</v>
      </c>
      <c r="O367">
        <f>IF(AND(F367&gt;=270,F367&lt;=310),1,IF(AND(F367&gt;=250,F367&lt;=330),0.5,0))</f>
        <v>0</v>
      </c>
      <c r="P367">
        <f>IF(AND(E367&gt;=0.8,E367&lt;=1.5),1,IF(AND(E367&gt;=0.5,E367&lt;=2),0.5,0))</f>
        <v>0</v>
      </c>
      <c r="Q367">
        <f>IF(AND(H367&gt;=5000,H367&lt;=6000),1,IF(AND(H367&gt;=4000,H367&lt;5000),0.5,0))</f>
        <v>1</v>
      </c>
      <c r="R367">
        <f>0.35*AVERAGE(L367:M367:N367)+0.3*O367+0.2*P367+0.15*Q367</f>
        <v>0.15</v>
      </c>
      <c r="S367" t="str">
        <f>LEFT(K367,1)</f>
        <v/>
      </c>
      <c r="T367">
        <f>IF(S367="G",1,0)</f>
        <v>0</v>
      </c>
      <c r="U367">
        <f>IF(S367="K",1,0)</f>
        <v>0</v>
      </c>
      <c r="V367">
        <f>IF(S367="M",1,0)</f>
        <v>0</v>
      </c>
      <c r="W367">
        <f>IF(S367="F",1,0)</f>
        <v>0</v>
      </c>
    </row>
    <row r="368" spans="1:23" x14ac:dyDescent="0.3">
      <c r="A368" t="s">
        <v>388</v>
      </c>
      <c r="B368">
        <v>0.99399999999999999</v>
      </c>
      <c r="C368">
        <v>2.31</v>
      </c>
      <c r="D368">
        <v>11.307169999999999</v>
      </c>
      <c r="E368">
        <v>9.2399999999999996E-2</v>
      </c>
      <c r="F368">
        <v>603.1</v>
      </c>
      <c r="G368">
        <f>IF(OR(C368="",B368="",B368=0),"",5.51*(C368/(B368^3)))</f>
        <v>12.959982811825469</v>
      </c>
      <c r="H368">
        <v>4664</v>
      </c>
      <c r="I368">
        <v>0.18605442173839545</v>
      </c>
      <c r="J368">
        <v>-0.12</v>
      </c>
      <c r="K368" t="s">
        <v>386</v>
      </c>
      <c r="L368">
        <f>IF(AND(B368&gt;=0.8,B368&lt;=1.5),1,IF(AND(B368&gt;=0.5,B368&lt;=2),0.5,0))</f>
        <v>1</v>
      </c>
      <c r="M368">
        <f>IF(AND(C368&gt;=0.5,C368&lt;=2),1,IF(AND(C368&gt;=0.1,C368&lt;=5),0.5,0))</f>
        <v>0.5</v>
      </c>
      <c r="N368">
        <f>IF(AND(G368&gt;=4,G368&lt;=7),1,IF(AND(G368&gt;=3,G368&lt;=8),0.5,0))</f>
        <v>0</v>
      </c>
      <c r="O368">
        <f>IF(AND(F368&gt;=270,F368&lt;=310),1,IF(AND(F368&gt;=250,F368&lt;=330),0.5,0))</f>
        <v>0</v>
      </c>
      <c r="P368">
        <f>IF(AND(E368&gt;=0.8,E368&lt;=1.5),1,IF(AND(E368&gt;=0.5,E368&lt;=2),0.5,0))</f>
        <v>0</v>
      </c>
      <c r="Q368">
        <f>IF(AND(H368&gt;=5000,H368&lt;=6000),1,IF(AND(H368&gt;=4000,H368&lt;5000),0.5,0))</f>
        <v>0.5</v>
      </c>
      <c r="R368">
        <f>0.35*AVERAGE(L368:M368:N368)+0.3*O368+0.2*P368+0.15*Q368</f>
        <v>0.25</v>
      </c>
      <c r="S368" t="str">
        <f>LEFT(K368,1)</f>
        <v>K</v>
      </c>
      <c r="T368">
        <f>IF(S368="G",1,0)</f>
        <v>0</v>
      </c>
      <c r="U368">
        <f>IF(S368="K",1,0)</f>
        <v>1</v>
      </c>
      <c r="V368">
        <f>IF(S368="M",1,0)</f>
        <v>0</v>
      </c>
      <c r="W368">
        <f>IF(S368="F",1,0)</f>
        <v>0</v>
      </c>
    </row>
    <row r="369" spans="1:23" x14ac:dyDescent="0.3">
      <c r="A369" t="s">
        <v>387</v>
      </c>
      <c r="B369">
        <v>1.8740000000000001</v>
      </c>
      <c r="C369">
        <v>18.100000000000001</v>
      </c>
      <c r="D369">
        <v>20.225528000000001</v>
      </c>
      <c r="E369">
        <v>0.13619999999999999</v>
      </c>
      <c r="F369">
        <v>496.8</v>
      </c>
      <c r="G369">
        <f>IF(OR(C369="",B369="",B369=0),"",5.51*(C369/(B369^3)))</f>
        <v>15.153795217482344</v>
      </c>
      <c r="H369">
        <v>4664</v>
      </c>
      <c r="I369">
        <v>0.18605442173839545</v>
      </c>
      <c r="J369">
        <v>-0.12</v>
      </c>
      <c r="K369" t="s">
        <v>386</v>
      </c>
      <c r="L369">
        <f>IF(AND(B369&gt;=0.8,B369&lt;=1.5),1,IF(AND(B369&gt;=0.5,B369&lt;=2),0.5,0))</f>
        <v>0.5</v>
      </c>
      <c r="M369">
        <f>IF(AND(C369&gt;=0.5,C369&lt;=2),1,IF(AND(C369&gt;=0.1,C369&lt;=5),0.5,0))</f>
        <v>0</v>
      </c>
      <c r="N369">
        <f>IF(AND(G369&gt;=4,G369&lt;=7),1,IF(AND(G369&gt;=3,G369&lt;=8),0.5,0))</f>
        <v>0</v>
      </c>
      <c r="O369">
        <f>IF(AND(F369&gt;=270,F369&lt;=310),1,IF(AND(F369&gt;=250,F369&lt;=330),0.5,0))</f>
        <v>0</v>
      </c>
      <c r="P369">
        <f>IF(AND(E369&gt;=0.8,E369&lt;=1.5),1,IF(AND(E369&gt;=0.5,E369&lt;=2),0.5,0))</f>
        <v>0</v>
      </c>
      <c r="Q369">
        <f>IF(AND(H369&gt;=5000,H369&lt;=6000),1,IF(AND(H369&gt;=4000,H369&lt;5000),0.5,0))</f>
        <v>0.5</v>
      </c>
      <c r="R369">
        <f>0.35*AVERAGE(L369:M369:N369)+0.3*O369+0.2*P369+0.15*Q369</f>
        <v>0.13333333333333333</v>
      </c>
      <c r="S369" t="str">
        <f>LEFT(K369,1)</f>
        <v>K</v>
      </c>
      <c r="T369">
        <f>IF(S369="G",1,0)</f>
        <v>0</v>
      </c>
      <c r="U369">
        <f>IF(S369="K",1,0)</f>
        <v>1</v>
      </c>
      <c r="V369">
        <f>IF(S369="M",1,0)</f>
        <v>0</v>
      </c>
      <c r="W369">
        <f>IF(S369="F",1,0)</f>
        <v>0</v>
      </c>
    </row>
    <row r="370" spans="1:23" x14ac:dyDescent="0.3">
      <c r="A370" t="s">
        <v>385</v>
      </c>
      <c r="B370">
        <v>9.9759928200000001</v>
      </c>
      <c r="C370">
        <v>50.852545120000002</v>
      </c>
      <c r="D370">
        <v>17.101970000000001</v>
      </c>
      <c r="E370">
        <v>0.127</v>
      </c>
      <c r="F370">
        <v>842</v>
      </c>
      <c r="G370">
        <f>IF(OR(C370="",B370="",B370=0),"",5.51*(C370/(B370^3)))</f>
        <v>0.28222527765734778</v>
      </c>
      <c r="H370">
        <v>5525</v>
      </c>
      <c r="I370">
        <v>0.6771798054160294</v>
      </c>
      <c r="J370">
        <v>0.09</v>
      </c>
      <c r="L370">
        <f>IF(AND(B370&gt;=0.8,B370&lt;=1.5),1,IF(AND(B370&gt;=0.5,B370&lt;=2),0.5,0))</f>
        <v>0</v>
      </c>
      <c r="M370">
        <f>IF(AND(C370&gt;=0.5,C370&lt;=2),1,IF(AND(C370&gt;=0.1,C370&lt;=5),0.5,0))</f>
        <v>0</v>
      </c>
      <c r="N370">
        <f>IF(AND(G370&gt;=4,G370&lt;=7),1,IF(AND(G370&gt;=3,G370&lt;=8),0.5,0))</f>
        <v>0</v>
      </c>
      <c r="O370">
        <f>IF(AND(F370&gt;=270,F370&lt;=310),1,IF(AND(F370&gt;=250,F370&lt;=330),0.5,0))</f>
        <v>0</v>
      </c>
      <c r="P370">
        <f>IF(AND(E370&gt;=0.8,E370&lt;=1.5),1,IF(AND(E370&gt;=0.5,E370&lt;=2),0.5,0))</f>
        <v>0</v>
      </c>
      <c r="Q370">
        <f>IF(AND(H370&gt;=5000,H370&lt;=6000),1,IF(AND(H370&gt;=4000,H370&lt;5000),0.5,0))</f>
        <v>1</v>
      </c>
      <c r="R370">
        <f>0.35*AVERAGE(L370:M370:N370)+0.3*O370+0.2*P370+0.15*Q370</f>
        <v>0.15</v>
      </c>
      <c r="S370" t="str">
        <f>LEFT(K370,1)</f>
        <v/>
      </c>
      <c r="T370">
        <f>IF(S370="G",1,0)</f>
        <v>0</v>
      </c>
      <c r="U370">
        <f>IF(S370="K",1,0)</f>
        <v>0</v>
      </c>
      <c r="V370">
        <f>IF(S370="M",1,0)</f>
        <v>0</v>
      </c>
      <c r="W370">
        <f>IF(S370="F",1,0)</f>
        <v>0</v>
      </c>
    </row>
    <row r="371" spans="1:23" x14ac:dyDescent="0.3">
      <c r="A371" t="s">
        <v>384</v>
      </c>
      <c r="B371">
        <v>10.088082630000001</v>
      </c>
      <c r="C371">
        <v>508.52545120000002</v>
      </c>
      <c r="D371">
        <v>2.9943200000000001</v>
      </c>
      <c r="G371">
        <f>IF(OR(C371="",B371="",B371=0),"",5.51*(C371/(B371^3)))</f>
        <v>2.729219088961973</v>
      </c>
      <c r="H371">
        <v>4780</v>
      </c>
      <c r="I371">
        <v>4.8563857914679041</v>
      </c>
      <c r="J371">
        <v>0.39</v>
      </c>
      <c r="L371">
        <f>IF(AND(B371&gt;=0.8,B371&lt;=1.5),1,IF(AND(B371&gt;=0.5,B371&lt;=2),0.5,0))</f>
        <v>0</v>
      </c>
      <c r="M371">
        <f>IF(AND(C371&gt;=0.5,C371&lt;=2),1,IF(AND(C371&gt;=0.1,C371&lt;=5),0.5,0))</f>
        <v>0</v>
      </c>
      <c r="N371">
        <f>IF(AND(G371&gt;=4,G371&lt;=7),1,IF(AND(G371&gt;=3,G371&lt;=8),0.5,0))</f>
        <v>0</v>
      </c>
      <c r="O371">
        <f>IF(AND(F371&gt;=270,F371&lt;=310),1,IF(AND(F371&gt;=250,F371&lt;=330),0.5,0))</f>
        <v>0</v>
      </c>
      <c r="P371">
        <f>IF(AND(E371&gt;=0.8,E371&lt;=1.5),1,IF(AND(E371&gt;=0.5,E371&lt;=2),0.5,0))</f>
        <v>0</v>
      </c>
      <c r="Q371">
        <f>IF(AND(H371&gt;=5000,H371&lt;=6000),1,IF(AND(H371&gt;=4000,H371&lt;5000),0.5,0))</f>
        <v>0.5</v>
      </c>
      <c r="R371">
        <f>0.35*AVERAGE(L371:M371:N371)+0.3*O371+0.2*P371+0.15*Q371</f>
        <v>7.4999999999999997E-2</v>
      </c>
      <c r="S371" t="str">
        <f>LEFT(K371,1)</f>
        <v/>
      </c>
      <c r="T371">
        <f>IF(S371="G",1,0)</f>
        <v>0</v>
      </c>
      <c r="U371">
        <f>IF(S371="K",1,0)</f>
        <v>0</v>
      </c>
      <c r="V371">
        <f>IF(S371="M",1,0)</f>
        <v>0</v>
      </c>
      <c r="W371">
        <f>IF(S371="F",1,0)</f>
        <v>0</v>
      </c>
    </row>
    <row r="372" spans="1:23" x14ac:dyDescent="0.3">
      <c r="A372" t="s">
        <v>383</v>
      </c>
      <c r="B372">
        <v>11.2089807</v>
      </c>
      <c r="C372">
        <v>1900.61387386</v>
      </c>
      <c r="D372">
        <v>22.653980000000001</v>
      </c>
      <c r="E372">
        <v>0.158</v>
      </c>
      <c r="F372">
        <v>799</v>
      </c>
      <c r="G372">
        <f>IF(OR(C372="",B372="",B372=0),"",5.51*(C372/(B372^3)))</f>
        <v>7.4361326755016304</v>
      </c>
      <c r="H372">
        <v>5581</v>
      </c>
      <c r="I372">
        <v>0.95965811072557461</v>
      </c>
      <c r="J372">
        <v>0.22</v>
      </c>
      <c r="L372">
        <f>IF(AND(B372&gt;=0.8,B372&lt;=1.5),1,IF(AND(B372&gt;=0.5,B372&lt;=2),0.5,0))</f>
        <v>0</v>
      </c>
      <c r="M372">
        <f>IF(AND(C372&gt;=0.5,C372&lt;=2),1,IF(AND(C372&gt;=0.1,C372&lt;=5),0.5,0))</f>
        <v>0</v>
      </c>
      <c r="N372">
        <f>IF(AND(G372&gt;=4,G372&lt;=7),1,IF(AND(G372&gt;=3,G372&lt;=8),0.5,0))</f>
        <v>0.5</v>
      </c>
      <c r="O372">
        <f>IF(AND(F372&gt;=270,F372&lt;=310),1,IF(AND(F372&gt;=250,F372&lt;=330),0.5,0))</f>
        <v>0</v>
      </c>
      <c r="P372">
        <f>IF(AND(E372&gt;=0.8,E372&lt;=1.5),1,IF(AND(E372&gt;=0.5,E372&lt;=2),0.5,0))</f>
        <v>0</v>
      </c>
      <c r="Q372">
        <f>IF(AND(H372&gt;=5000,H372&lt;=6000),1,IF(AND(H372&gt;=4000,H372&lt;5000),0.5,0))</f>
        <v>1</v>
      </c>
      <c r="R372">
        <f>0.35*AVERAGE(L372:M372:N372)+0.3*O372+0.2*P372+0.15*Q372</f>
        <v>0.20833333333333331</v>
      </c>
      <c r="S372" t="str">
        <f>LEFT(K372,1)</f>
        <v/>
      </c>
      <c r="T372">
        <f>IF(S372="G",1,0)</f>
        <v>0</v>
      </c>
      <c r="U372">
        <f>IF(S372="K",1,0)</f>
        <v>0</v>
      </c>
      <c r="V372">
        <f>IF(S372="M",1,0)</f>
        <v>0</v>
      </c>
      <c r="W372">
        <f>IF(S372="F",1,0)</f>
        <v>0</v>
      </c>
    </row>
    <row r="373" spans="1:23" x14ac:dyDescent="0.3">
      <c r="A373" t="s">
        <v>382</v>
      </c>
      <c r="B373">
        <v>1.504</v>
      </c>
      <c r="C373">
        <v>3.49</v>
      </c>
      <c r="D373">
        <v>1.0528573000000001</v>
      </c>
      <c r="E373">
        <v>1.7049999999999999E-2</v>
      </c>
      <c r="F373">
        <v>1478</v>
      </c>
      <c r="G373">
        <f>IF(OR(C373="",B373="",B373=0),"",5.51*(C373/(B373^3)))</f>
        <v>5.6524081907278498</v>
      </c>
      <c r="H373">
        <v>4687</v>
      </c>
      <c r="I373">
        <v>0.23010429268899019</v>
      </c>
      <c r="J373">
        <v>-0.1</v>
      </c>
      <c r="K373" t="s">
        <v>20</v>
      </c>
      <c r="L373">
        <f>IF(AND(B373&gt;=0.8,B373&lt;=1.5),1,IF(AND(B373&gt;=0.5,B373&lt;=2),0.5,0))</f>
        <v>0.5</v>
      </c>
      <c r="M373">
        <f>IF(AND(C373&gt;=0.5,C373&lt;=2),1,IF(AND(C373&gt;=0.1,C373&lt;=5),0.5,0))</f>
        <v>0.5</v>
      </c>
      <c r="N373">
        <f>IF(AND(G373&gt;=4,G373&lt;=7),1,IF(AND(G373&gt;=3,G373&lt;=8),0.5,0))</f>
        <v>1</v>
      </c>
      <c r="O373">
        <f>IF(AND(F373&gt;=270,F373&lt;=310),1,IF(AND(F373&gt;=250,F373&lt;=330),0.5,0))</f>
        <v>0</v>
      </c>
      <c r="P373">
        <f>IF(AND(E373&gt;=0.8,E373&lt;=1.5),1,IF(AND(E373&gt;=0.5,E373&lt;=2),0.5,0))</f>
        <v>0</v>
      </c>
      <c r="Q373">
        <f>IF(AND(H373&gt;=5000,H373&lt;=6000),1,IF(AND(H373&gt;=4000,H373&lt;5000),0.5,0))</f>
        <v>0.5</v>
      </c>
      <c r="R373">
        <f>0.35*AVERAGE(L373:M373:N373)+0.3*O373+0.2*P373+0.15*Q373</f>
        <v>0.30833333333333329</v>
      </c>
      <c r="S373" t="str">
        <f>LEFT(K373,1)</f>
        <v>K</v>
      </c>
      <c r="T373">
        <f>IF(S373="G",1,0)</f>
        <v>0</v>
      </c>
      <c r="U373">
        <f>IF(S373="K",1,0)</f>
        <v>1</v>
      </c>
      <c r="V373">
        <f>IF(S373="M",1,0)</f>
        <v>0</v>
      </c>
      <c r="W373">
        <f>IF(S373="F",1,0)</f>
        <v>0</v>
      </c>
    </row>
    <row r="374" spans="1:23" x14ac:dyDescent="0.3">
      <c r="A374" t="s">
        <v>381</v>
      </c>
      <c r="B374">
        <v>2.4510000000000001</v>
      </c>
      <c r="C374">
        <v>7.27</v>
      </c>
      <c r="D374">
        <v>21.064302000000001</v>
      </c>
      <c r="E374">
        <v>0.12570000000000001</v>
      </c>
      <c r="F374">
        <v>544</v>
      </c>
      <c r="G374">
        <f>IF(OR(C374="",B374="",B374=0),"",5.51*(C374/(B374^3)))</f>
        <v>2.7205460152756866</v>
      </c>
      <c r="H374">
        <v>4687</v>
      </c>
      <c r="I374">
        <v>0.23010429268899019</v>
      </c>
      <c r="J374">
        <v>-0.1</v>
      </c>
      <c r="K374" t="s">
        <v>20</v>
      </c>
      <c r="L374">
        <f>IF(AND(B374&gt;=0.8,B374&lt;=1.5),1,IF(AND(B374&gt;=0.5,B374&lt;=2),0.5,0))</f>
        <v>0</v>
      </c>
      <c r="M374">
        <f>IF(AND(C374&gt;=0.5,C374&lt;=2),1,IF(AND(C374&gt;=0.1,C374&lt;=5),0.5,0))</f>
        <v>0</v>
      </c>
      <c r="N374">
        <f>IF(AND(G374&gt;=4,G374&lt;=7),1,IF(AND(G374&gt;=3,G374&lt;=8),0.5,0))</f>
        <v>0</v>
      </c>
      <c r="O374">
        <f>IF(AND(F374&gt;=270,F374&lt;=310),1,IF(AND(F374&gt;=250,F374&lt;=330),0.5,0))</f>
        <v>0</v>
      </c>
      <c r="P374">
        <f>IF(AND(E374&gt;=0.8,E374&lt;=1.5),1,IF(AND(E374&gt;=0.5,E374&lt;=2),0.5,0))</f>
        <v>0</v>
      </c>
      <c r="Q374">
        <f>IF(AND(H374&gt;=5000,H374&lt;=6000),1,IF(AND(H374&gt;=4000,H374&lt;5000),0.5,0))</f>
        <v>0.5</v>
      </c>
      <c r="R374">
        <f>0.35*AVERAGE(L374:M374:N374)+0.3*O374+0.2*P374+0.15*Q374</f>
        <v>7.4999999999999997E-2</v>
      </c>
      <c r="S374" t="str">
        <f>LEFT(K374,1)</f>
        <v>K</v>
      </c>
      <c r="T374">
        <f>IF(S374="G",1,0)</f>
        <v>0</v>
      </c>
      <c r="U374">
        <f>IF(S374="K",1,0)</f>
        <v>1</v>
      </c>
      <c r="V374">
        <f>IF(S374="M",1,0)</f>
        <v>0</v>
      </c>
      <c r="W374">
        <f>IF(S374="F",1,0)</f>
        <v>0</v>
      </c>
    </row>
    <row r="375" spans="1:23" x14ac:dyDescent="0.3">
      <c r="A375" t="s">
        <v>380</v>
      </c>
      <c r="B375">
        <v>16.11851425</v>
      </c>
      <c r="C375">
        <v>394.10722468</v>
      </c>
      <c r="D375">
        <v>3.3312029000000001</v>
      </c>
      <c r="E375">
        <v>4.7300000000000002E-2</v>
      </c>
      <c r="F375">
        <v>1689</v>
      </c>
      <c r="G375">
        <f>IF(OR(C375="",B375="",B375=0),"",5.51*(C375/(B375^3)))</f>
        <v>0.51855039881322784</v>
      </c>
      <c r="H375">
        <v>6480</v>
      </c>
      <c r="I375">
        <v>3.0126456060848081</v>
      </c>
      <c r="J375">
        <v>-0.03</v>
      </c>
      <c r="L375">
        <f>IF(AND(B375&gt;=0.8,B375&lt;=1.5),1,IF(AND(B375&gt;=0.5,B375&lt;=2),0.5,0))</f>
        <v>0</v>
      </c>
      <c r="M375">
        <f>IF(AND(C375&gt;=0.5,C375&lt;=2),1,IF(AND(C375&gt;=0.1,C375&lt;=5),0.5,0))</f>
        <v>0</v>
      </c>
      <c r="N375">
        <f>IF(AND(G375&gt;=4,G375&lt;=7),1,IF(AND(G375&gt;=3,G375&lt;=8),0.5,0))</f>
        <v>0</v>
      </c>
      <c r="O375">
        <f>IF(AND(F375&gt;=270,F375&lt;=310),1,IF(AND(F375&gt;=250,F375&lt;=330),0.5,0))</f>
        <v>0</v>
      </c>
      <c r="P375">
        <f>IF(AND(E375&gt;=0.8,E375&lt;=1.5),1,IF(AND(E375&gt;=0.5,E375&lt;=2),0.5,0))</f>
        <v>0</v>
      </c>
      <c r="Q375">
        <f>IF(AND(H375&gt;=5000,H375&lt;=6000),1,IF(AND(H375&gt;=4000,H375&lt;5000),0.5,0))</f>
        <v>0</v>
      </c>
      <c r="R375">
        <f>0.35*AVERAGE(L375:M375:N375)+0.3*O375+0.2*P375+0.15*Q375</f>
        <v>0</v>
      </c>
      <c r="S375" t="str">
        <f>LEFT(K375,1)</f>
        <v/>
      </c>
      <c r="T375">
        <f>IF(S375="G",1,0)</f>
        <v>0</v>
      </c>
      <c r="U375">
        <f>IF(S375="K",1,0)</f>
        <v>0</v>
      </c>
      <c r="V375">
        <f>IF(S375="M",1,0)</f>
        <v>0</v>
      </c>
      <c r="W375">
        <f>IF(S375="F",1,0)</f>
        <v>0</v>
      </c>
    </row>
    <row r="376" spans="1:23" x14ac:dyDescent="0.3">
      <c r="A376" t="s">
        <v>379</v>
      </c>
      <c r="B376">
        <v>8.6084971800000005</v>
      </c>
      <c r="C376">
        <v>71.511391579999994</v>
      </c>
      <c r="D376">
        <v>4.0197516999999996</v>
      </c>
      <c r="E376">
        <v>4.8710000000000003E-2</v>
      </c>
      <c r="F376">
        <v>1091</v>
      </c>
      <c r="G376">
        <f>IF(OR(C376="",B376="",B376=0),"",5.51*(C376/(B376^3)))</f>
        <v>0.61765335324168236</v>
      </c>
      <c r="H376">
        <v>5306</v>
      </c>
      <c r="I376">
        <v>0.5582468437715975</v>
      </c>
      <c r="J376">
        <v>0.34399999999999997</v>
      </c>
      <c r="L376">
        <f>IF(AND(B376&gt;=0.8,B376&lt;=1.5),1,IF(AND(B376&gt;=0.5,B376&lt;=2),0.5,0))</f>
        <v>0</v>
      </c>
      <c r="M376">
        <f>IF(AND(C376&gt;=0.5,C376&lt;=2),1,IF(AND(C376&gt;=0.1,C376&lt;=5),0.5,0))</f>
        <v>0</v>
      </c>
      <c r="N376">
        <f>IF(AND(G376&gt;=4,G376&lt;=7),1,IF(AND(G376&gt;=3,G376&lt;=8),0.5,0))</f>
        <v>0</v>
      </c>
      <c r="O376">
        <f>IF(AND(F376&gt;=270,F376&lt;=310),1,IF(AND(F376&gt;=250,F376&lt;=330),0.5,0))</f>
        <v>0</v>
      </c>
      <c r="P376">
        <f>IF(AND(E376&gt;=0.8,E376&lt;=1.5),1,IF(AND(E376&gt;=0.5,E376&lt;=2),0.5,0))</f>
        <v>0</v>
      </c>
      <c r="Q376">
        <f>IF(AND(H376&gt;=5000,H376&lt;=6000),1,IF(AND(H376&gt;=4000,H376&lt;5000),0.5,0))</f>
        <v>1</v>
      </c>
      <c r="R376">
        <f>0.35*AVERAGE(L376:M376:N376)+0.3*O376+0.2*P376+0.15*Q376</f>
        <v>0.15</v>
      </c>
      <c r="S376" t="str">
        <f>LEFT(K376,1)</f>
        <v/>
      </c>
      <c r="T376">
        <f>IF(S376="G",1,0)</f>
        <v>0</v>
      </c>
      <c r="U376">
        <f>IF(S376="K",1,0)</f>
        <v>0</v>
      </c>
      <c r="V376">
        <f>IF(S376="M",1,0)</f>
        <v>0</v>
      </c>
      <c r="W376">
        <f>IF(S376="F",1,0)</f>
        <v>0</v>
      </c>
    </row>
    <row r="377" spans="1:23" x14ac:dyDescent="0.3">
      <c r="A377" t="s">
        <v>378</v>
      </c>
      <c r="B377">
        <v>10.839084339999999</v>
      </c>
      <c r="C377">
        <v>206.58846455</v>
      </c>
      <c r="D377">
        <v>5.1750072999999999</v>
      </c>
      <c r="E377">
        <v>5.6489999999999999E-2</v>
      </c>
      <c r="F377">
        <v>1000</v>
      </c>
      <c r="G377">
        <f>IF(OR(C377="",B377="",B377=0),"",5.51*(C377/(B377^3)))</f>
        <v>0.89388135753735931</v>
      </c>
      <c r="H377">
        <v>5360</v>
      </c>
      <c r="I377">
        <v>0.5300169209646759</v>
      </c>
      <c r="J377">
        <v>0.1</v>
      </c>
      <c r="L377">
        <f>IF(AND(B377&gt;=0.8,B377&lt;=1.5),1,IF(AND(B377&gt;=0.5,B377&lt;=2),0.5,0))</f>
        <v>0</v>
      </c>
      <c r="M377">
        <f>IF(AND(C377&gt;=0.5,C377&lt;=2),1,IF(AND(C377&gt;=0.1,C377&lt;=5),0.5,0))</f>
        <v>0</v>
      </c>
      <c r="N377">
        <f>IF(AND(G377&gt;=4,G377&lt;=7),1,IF(AND(G377&gt;=3,G377&lt;=8),0.5,0))</f>
        <v>0</v>
      </c>
      <c r="O377">
        <f>IF(AND(F377&gt;=270,F377&lt;=310),1,IF(AND(F377&gt;=250,F377&lt;=330),0.5,0))</f>
        <v>0</v>
      </c>
      <c r="P377">
        <f>IF(AND(E377&gt;=0.8,E377&lt;=1.5),1,IF(AND(E377&gt;=0.5,E377&lt;=2),0.5,0))</f>
        <v>0</v>
      </c>
      <c r="Q377">
        <f>IF(AND(H377&gt;=5000,H377&lt;=6000),1,IF(AND(H377&gt;=4000,H377&lt;5000),0.5,0))</f>
        <v>1</v>
      </c>
      <c r="R377">
        <f>0.35*AVERAGE(L377:M377:N377)+0.3*O377+0.2*P377+0.15*Q377</f>
        <v>0.15</v>
      </c>
      <c r="S377" t="str">
        <f>LEFT(K377,1)</f>
        <v/>
      </c>
      <c r="T377">
        <f>IF(S377="G",1,0)</f>
        <v>0</v>
      </c>
      <c r="U377">
        <f>IF(S377="K",1,0)</f>
        <v>0</v>
      </c>
      <c r="V377">
        <f>IF(S377="M",1,0)</f>
        <v>0</v>
      </c>
      <c r="W377">
        <f>IF(S377="F",1,0)</f>
        <v>0</v>
      </c>
    </row>
    <row r="378" spans="1:23" x14ac:dyDescent="0.3">
      <c r="A378" t="s">
        <v>377</v>
      </c>
      <c r="B378">
        <v>1.44</v>
      </c>
      <c r="D378">
        <v>5.4360980000000003</v>
      </c>
      <c r="E378">
        <v>3.4099999999999998E-2</v>
      </c>
      <c r="F378">
        <v>388</v>
      </c>
      <c r="G378" t="str">
        <f>IF(OR(C378="",B378="",B378=0),"",5.51*(C378/(B378^3)))</f>
        <v/>
      </c>
      <c r="H378">
        <v>3212</v>
      </c>
      <c r="I378">
        <v>4.2516441380214568E-3</v>
      </c>
      <c r="K378" t="s">
        <v>376</v>
      </c>
      <c r="L378">
        <f>IF(AND(B378&gt;=0.8,B378&lt;=1.5),1,IF(AND(B378&gt;=0.5,B378&lt;=2),0.5,0))</f>
        <v>1</v>
      </c>
      <c r="M378">
        <f>IF(AND(C378&gt;=0.5,C378&lt;=2),1,IF(AND(C378&gt;=0.1,C378&lt;=5),0.5,0))</f>
        <v>0</v>
      </c>
      <c r="N378">
        <f>IF(AND(G378&gt;=4,G378&lt;=7),1,IF(AND(G378&gt;=3,G378&lt;=8),0.5,0))</f>
        <v>0</v>
      </c>
      <c r="O378">
        <f>IF(AND(F378&gt;=270,F378&lt;=310),1,IF(AND(F378&gt;=250,F378&lt;=330),0.5,0))</f>
        <v>0</v>
      </c>
      <c r="P378">
        <f>IF(AND(E378&gt;=0.8,E378&lt;=1.5),1,IF(AND(E378&gt;=0.5,E378&lt;=2),0.5,0))</f>
        <v>0</v>
      </c>
      <c r="Q378">
        <f>IF(AND(H378&gt;=5000,H378&lt;=6000),1,IF(AND(H378&gt;=4000,H378&lt;5000),0.5,0))</f>
        <v>0</v>
      </c>
      <c r="R378">
        <f>0.35*AVERAGE(L378:M378:N378)+0.3*O378+0.2*P378+0.15*Q378</f>
        <v>0.11666666666666665</v>
      </c>
      <c r="S378" t="str">
        <f>LEFT(K378,1)</f>
        <v>M</v>
      </c>
      <c r="T378">
        <f>IF(S378="G",1,0)</f>
        <v>0</v>
      </c>
      <c r="U378">
        <f>IF(S378="K",1,0)</f>
        <v>0</v>
      </c>
      <c r="V378">
        <f>IF(S378="M",1,0)</f>
        <v>1</v>
      </c>
      <c r="W378">
        <f>IF(S378="F",1,0)</f>
        <v>0</v>
      </c>
    </row>
    <row r="379" spans="1:23" x14ac:dyDescent="0.3">
      <c r="A379" t="s">
        <v>375</v>
      </c>
      <c r="B379">
        <v>10.42435205</v>
      </c>
      <c r="C379">
        <v>2955.8041850999998</v>
      </c>
      <c r="D379">
        <v>13.336679999999999</v>
      </c>
      <c r="E379">
        <v>0.112</v>
      </c>
      <c r="F379">
        <v>860</v>
      </c>
      <c r="G379">
        <f>IF(OR(C379="",B379="",B379=0),"",5.51*(C379/(B379^3)))</f>
        <v>14.377389845833775</v>
      </c>
      <c r="H379">
        <v>5651</v>
      </c>
      <c r="I379">
        <v>1.1111028669397742</v>
      </c>
      <c r="J379">
        <v>0.3</v>
      </c>
      <c r="L379">
        <f>IF(AND(B379&gt;=0.8,B379&lt;=1.5),1,IF(AND(B379&gt;=0.5,B379&lt;=2),0.5,0))</f>
        <v>0</v>
      </c>
      <c r="M379">
        <f>IF(AND(C379&gt;=0.5,C379&lt;=2),1,IF(AND(C379&gt;=0.1,C379&lt;=5),0.5,0))</f>
        <v>0</v>
      </c>
      <c r="N379">
        <f>IF(AND(G379&gt;=4,G379&lt;=7),1,IF(AND(G379&gt;=3,G379&lt;=8),0.5,0))</f>
        <v>0</v>
      </c>
      <c r="O379">
        <f>IF(AND(F379&gt;=270,F379&lt;=310),1,IF(AND(F379&gt;=250,F379&lt;=330),0.5,0))</f>
        <v>0</v>
      </c>
      <c r="P379">
        <f>IF(AND(E379&gt;=0.8,E379&lt;=1.5),1,IF(AND(E379&gt;=0.5,E379&lt;=2),0.5,0))</f>
        <v>0</v>
      </c>
      <c r="Q379">
        <f>IF(AND(H379&gt;=5000,H379&lt;=6000),1,IF(AND(H379&gt;=4000,H379&lt;5000),0.5,0))</f>
        <v>1</v>
      </c>
      <c r="R379">
        <f>0.35*AVERAGE(L379:M379:N379)+0.3*O379+0.2*P379+0.15*Q379</f>
        <v>0.15</v>
      </c>
      <c r="S379" t="str">
        <f>LEFT(K379,1)</f>
        <v/>
      </c>
      <c r="T379">
        <f>IF(S379="G",1,0)</f>
        <v>0</v>
      </c>
      <c r="U379">
        <f>IF(S379="K",1,0)</f>
        <v>0</v>
      </c>
      <c r="V379">
        <f>IF(S379="M",1,0)</f>
        <v>0</v>
      </c>
      <c r="W379">
        <f>IF(S379="F",1,0)</f>
        <v>0</v>
      </c>
    </row>
    <row r="380" spans="1:23" x14ac:dyDescent="0.3">
      <c r="A380" t="s">
        <v>374</v>
      </c>
      <c r="B380">
        <v>6.81</v>
      </c>
      <c r="C380">
        <v>56.64</v>
      </c>
      <c r="D380">
        <v>4.3136099999999997</v>
      </c>
      <c r="E380">
        <v>4.7100000000000003E-2</v>
      </c>
      <c r="F380">
        <v>885</v>
      </c>
      <c r="G380">
        <f>IF(OR(C380="",B380="",B380=0),"",5.51*(C380/(B380^3)))</f>
        <v>0.98817419313478061</v>
      </c>
      <c r="H380">
        <v>4802</v>
      </c>
      <c r="I380">
        <v>0.22713112621263779</v>
      </c>
      <c r="J380">
        <v>0.15</v>
      </c>
      <c r="L380">
        <f>IF(AND(B380&gt;=0.8,B380&lt;=1.5),1,IF(AND(B380&gt;=0.5,B380&lt;=2),0.5,0))</f>
        <v>0</v>
      </c>
      <c r="M380">
        <f>IF(AND(C380&gt;=0.5,C380&lt;=2),1,IF(AND(C380&gt;=0.1,C380&lt;=5),0.5,0))</f>
        <v>0</v>
      </c>
      <c r="N380">
        <f>IF(AND(G380&gt;=4,G380&lt;=7),1,IF(AND(G380&gt;=3,G380&lt;=8),0.5,0))</f>
        <v>0</v>
      </c>
      <c r="O380">
        <f>IF(AND(F380&gt;=270,F380&lt;=310),1,IF(AND(F380&gt;=250,F380&lt;=330),0.5,0))</f>
        <v>0</v>
      </c>
      <c r="P380">
        <f>IF(AND(E380&gt;=0.8,E380&lt;=1.5),1,IF(AND(E380&gt;=0.5,E380&lt;=2),0.5,0))</f>
        <v>0</v>
      </c>
      <c r="Q380">
        <f>IF(AND(H380&gt;=5000,H380&lt;=6000),1,IF(AND(H380&gt;=4000,H380&lt;5000),0.5,0))</f>
        <v>0.5</v>
      </c>
      <c r="R380">
        <f>0.35*AVERAGE(L380:M380:N380)+0.3*O380+0.2*P380+0.15*Q380</f>
        <v>7.4999999999999997E-2</v>
      </c>
      <c r="S380" t="str">
        <f>LEFT(K380,1)</f>
        <v/>
      </c>
      <c r="T380">
        <f>IF(S380="G",1,0)</f>
        <v>0</v>
      </c>
      <c r="U380">
        <f>IF(S380="K",1,0)</f>
        <v>0</v>
      </c>
      <c r="V380">
        <f>IF(S380="M",1,0)</f>
        <v>0</v>
      </c>
      <c r="W380">
        <f>IF(S380="F",1,0)</f>
        <v>0</v>
      </c>
    </row>
    <row r="381" spans="1:23" x14ac:dyDescent="0.3">
      <c r="A381" t="s">
        <v>373</v>
      </c>
      <c r="B381">
        <v>11.72459381</v>
      </c>
      <c r="C381">
        <v>1830.6916243200001</v>
      </c>
      <c r="D381">
        <v>5.4693826999999997</v>
      </c>
      <c r="E381">
        <v>5.2630000000000003E-2</v>
      </c>
      <c r="F381">
        <v>624</v>
      </c>
      <c r="G381">
        <f>IF(OR(C381="",B381="",B381=0),"",5.51*(C381/(B381^3)))</f>
        <v>6.2585449525601016</v>
      </c>
      <c r="H381">
        <v>3707</v>
      </c>
      <c r="I381">
        <v>6.5548229176558087E-2</v>
      </c>
      <c r="J381">
        <v>0.501</v>
      </c>
      <c r="L381">
        <f>IF(AND(B381&gt;=0.8,B381&lt;=1.5),1,IF(AND(B381&gt;=0.5,B381&lt;=2),0.5,0))</f>
        <v>0</v>
      </c>
      <c r="M381">
        <f>IF(AND(C381&gt;=0.5,C381&lt;=2),1,IF(AND(C381&gt;=0.1,C381&lt;=5),0.5,0))</f>
        <v>0</v>
      </c>
      <c r="N381">
        <f>IF(AND(G381&gt;=4,G381&lt;=7),1,IF(AND(G381&gt;=3,G381&lt;=8),0.5,0))</f>
        <v>1</v>
      </c>
      <c r="O381">
        <f>IF(AND(F381&gt;=270,F381&lt;=310),1,IF(AND(F381&gt;=250,F381&lt;=330),0.5,0))</f>
        <v>0</v>
      </c>
      <c r="P381">
        <f>IF(AND(E381&gt;=0.8,E381&lt;=1.5),1,IF(AND(E381&gt;=0.5,E381&lt;=2),0.5,0))</f>
        <v>0</v>
      </c>
      <c r="Q381">
        <f>IF(AND(H381&gt;=5000,H381&lt;=6000),1,IF(AND(H381&gt;=4000,H381&lt;5000),0.5,0))</f>
        <v>0</v>
      </c>
      <c r="R381">
        <f>0.35*AVERAGE(L381:M381:N381)+0.3*O381+0.2*P381+0.15*Q381</f>
        <v>0.11666666666666665</v>
      </c>
      <c r="S381" t="str">
        <f>LEFT(K381,1)</f>
        <v/>
      </c>
      <c r="T381">
        <f>IF(S381="G",1,0)</f>
        <v>0</v>
      </c>
      <c r="U381">
        <f>IF(S381="K",1,0)</f>
        <v>0</v>
      </c>
      <c r="V381">
        <f>IF(S381="M",1,0)</f>
        <v>0</v>
      </c>
      <c r="W381">
        <f>IF(S381="F",1,0)</f>
        <v>0</v>
      </c>
    </row>
    <row r="382" spans="1:23" x14ac:dyDescent="0.3">
      <c r="A382" t="s">
        <v>372</v>
      </c>
      <c r="B382">
        <v>1.5589999999999999</v>
      </c>
      <c r="C382">
        <v>3.37</v>
      </c>
      <c r="D382">
        <v>1.273099</v>
      </c>
      <c r="E382">
        <v>2.12E-2</v>
      </c>
      <c r="F382">
        <v>1378</v>
      </c>
      <c r="G382">
        <f>IF(OR(C382="",B382="",B382=0),"",5.51*(C382/(B382^3)))</f>
        <v>4.9005311504951727</v>
      </c>
      <c r="H382">
        <v>5059</v>
      </c>
      <c r="I382">
        <v>0.33588619809267378</v>
      </c>
      <c r="J382">
        <v>-0.114</v>
      </c>
      <c r="K382" t="s">
        <v>371</v>
      </c>
      <c r="L382">
        <f>IF(AND(B382&gt;=0.8,B382&lt;=1.5),1,IF(AND(B382&gt;=0.5,B382&lt;=2),0.5,0))</f>
        <v>0.5</v>
      </c>
      <c r="M382">
        <f>IF(AND(C382&gt;=0.5,C382&lt;=2),1,IF(AND(C382&gt;=0.1,C382&lt;=5),0.5,0))</f>
        <v>0.5</v>
      </c>
      <c r="N382">
        <f>IF(AND(G382&gt;=4,G382&lt;=7),1,IF(AND(G382&gt;=3,G382&lt;=8),0.5,0))</f>
        <v>1</v>
      </c>
      <c r="O382">
        <f>IF(AND(F382&gt;=270,F382&lt;=310),1,IF(AND(F382&gt;=250,F382&lt;=330),0.5,0))</f>
        <v>0</v>
      </c>
      <c r="P382">
        <f>IF(AND(E382&gt;=0.8,E382&lt;=1.5),1,IF(AND(E382&gt;=0.5,E382&lt;=2),0.5,0))</f>
        <v>0</v>
      </c>
      <c r="Q382">
        <f>IF(AND(H382&gt;=5000,H382&lt;=6000),1,IF(AND(H382&gt;=4000,H382&lt;5000),0.5,0))</f>
        <v>1</v>
      </c>
      <c r="R382">
        <f>0.35*AVERAGE(L382:M382:N382)+0.3*O382+0.2*P382+0.15*Q382</f>
        <v>0.3833333333333333</v>
      </c>
      <c r="S382" t="str">
        <f>LEFT(K382,1)</f>
        <v>K</v>
      </c>
      <c r="T382">
        <f>IF(S382="G",1,0)</f>
        <v>0</v>
      </c>
      <c r="U382">
        <f>IF(S382="K",1,0)</f>
        <v>1</v>
      </c>
      <c r="V382">
        <f>IF(S382="M",1,0)</f>
        <v>0</v>
      </c>
      <c r="W382">
        <f>IF(S382="F",1,0)</f>
        <v>0</v>
      </c>
    </row>
    <row r="383" spans="1:23" x14ac:dyDescent="0.3">
      <c r="A383" t="s">
        <v>370</v>
      </c>
      <c r="B383">
        <v>12.25141591</v>
      </c>
      <c r="C383">
        <v>235.19302117999999</v>
      </c>
      <c r="D383">
        <v>4.6612061000000002</v>
      </c>
      <c r="E383">
        <v>5.8999999999999997E-2</v>
      </c>
      <c r="F383">
        <v>1426</v>
      </c>
      <c r="G383">
        <f>IF(OR(C383="",B383="",B383=0),"",5.51*(C383/(B383^3)))</f>
        <v>0.70472094479932468</v>
      </c>
      <c r="H383">
        <v>6033</v>
      </c>
      <c r="I383">
        <v>2.386507764756709</v>
      </c>
      <c r="J383">
        <v>0.249</v>
      </c>
      <c r="L383">
        <f>IF(AND(B383&gt;=0.8,B383&lt;=1.5),1,IF(AND(B383&gt;=0.5,B383&lt;=2),0.5,0))</f>
        <v>0</v>
      </c>
      <c r="M383">
        <f>IF(AND(C383&gt;=0.5,C383&lt;=2),1,IF(AND(C383&gt;=0.1,C383&lt;=5),0.5,0))</f>
        <v>0</v>
      </c>
      <c r="N383">
        <f>IF(AND(G383&gt;=4,G383&lt;=7),1,IF(AND(G383&gt;=3,G383&lt;=8),0.5,0))</f>
        <v>0</v>
      </c>
      <c r="O383">
        <f>IF(AND(F383&gt;=270,F383&lt;=310),1,IF(AND(F383&gt;=250,F383&lt;=330),0.5,0))</f>
        <v>0</v>
      </c>
      <c r="P383">
        <f>IF(AND(E383&gt;=0.8,E383&lt;=1.5),1,IF(AND(E383&gt;=0.5,E383&lt;=2),0.5,0))</f>
        <v>0</v>
      </c>
      <c r="Q383">
        <f>IF(AND(H383&gt;=5000,H383&lt;=6000),1,IF(AND(H383&gt;=4000,H383&lt;5000),0.5,0))</f>
        <v>0</v>
      </c>
      <c r="R383">
        <f>0.35*AVERAGE(L383:M383:N383)+0.3*O383+0.2*P383+0.15*Q383</f>
        <v>0</v>
      </c>
      <c r="S383" t="str">
        <f>LEFT(K383,1)</f>
        <v/>
      </c>
      <c r="T383">
        <f>IF(S383="G",1,0)</f>
        <v>0</v>
      </c>
      <c r="U383">
        <f>IF(S383="K",1,0)</f>
        <v>0</v>
      </c>
      <c r="V383">
        <f>IF(S383="M",1,0)</f>
        <v>0</v>
      </c>
      <c r="W383">
        <f>IF(S383="F",1,0)</f>
        <v>0</v>
      </c>
    </row>
    <row r="384" spans="1:23" x14ac:dyDescent="0.3">
      <c r="A384" t="s">
        <v>369</v>
      </c>
      <c r="B384">
        <v>11.489205220000001</v>
      </c>
      <c r="C384">
        <v>624.85064815999999</v>
      </c>
      <c r="D384">
        <v>2.1357030400000001</v>
      </c>
      <c r="E384">
        <v>2.793E-2</v>
      </c>
      <c r="F384">
        <v>889.7</v>
      </c>
      <c r="G384">
        <f>IF(OR(C384="",B384="",B384=0),"",5.51*(C384/(B384^3)))</f>
        <v>2.2701672957743586</v>
      </c>
      <c r="H384">
        <v>3943</v>
      </c>
      <c r="I384">
        <v>8.1041178861195315E-2</v>
      </c>
      <c r="J384">
        <v>0.33200000000000002</v>
      </c>
      <c r="L384">
        <f>IF(AND(B384&gt;=0.8,B384&lt;=1.5),1,IF(AND(B384&gt;=0.5,B384&lt;=2),0.5,0))</f>
        <v>0</v>
      </c>
      <c r="M384">
        <f>IF(AND(C384&gt;=0.5,C384&lt;=2),1,IF(AND(C384&gt;=0.1,C384&lt;=5),0.5,0))</f>
        <v>0</v>
      </c>
      <c r="N384">
        <f>IF(AND(G384&gt;=4,G384&lt;=7),1,IF(AND(G384&gt;=3,G384&lt;=8),0.5,0))</f>
        <v>0</v>
      </c>
      <c r="O384">
        <f>IF(AND(F384&gt;=270,F384&lt;=310),1,IF(AND(F384&gt;=250,F384&lt;=330),0.5,0))</f>
        <v>0</v>
      </c>
      <c r="P384">
        <f>IF(AND(E384&gt;=0.8,E384&lt;=1.5),1,IF(AND(E384&gt;=0.5,E384&lt;=2),0.5,0))</f>
        <v>0</v>
      </c>
      <c r="Q384">
        <f>IF(AND(H384&gt;=5000,H384&lt;=6000),1,IF(AND(H384&gt;=4000,H384&lt;5000),0.5,0))</f>
        <v>0</v>
      </c>
      <c r="R384">
        <f>0.35*AVERAGE(L384:M384:N384)+0.3*O384+0.2*P384+0.15*Q384</f>
        <v>0</v>
      </c>
      <c r="S384" t="str">
        <f>LEFT(K384,1)</f>
        <v/>
      </c>
      <c r="T384">
        <f>IF(S384="G",1,0)</f>
        <v>0</v>
      </c>
      <c r="U384">
        <f>IF(S384="K",1,0)</f>
        <v>0</v>
      </c>
      <c r="V384">
        <f>IF(S384="M",1,0)</f>
        <v>0</v>
      </c>
      <c r="W384">
        <f>IF(S384="F",1,0)</f>
        <v>0</v>
      </c>
    </row>
    <row r="385" spans="1:23" x14ac:dyDescent="0.3">
      <c r="A385" t="s">
        <v>368</v>
      </c>
      <c r="B385">
        <v>2.86</v>
      </c>
      <c r="C385">
        <v>15.6</v>
      </c>
      <c r="D385">
        <v>3.0766890999999998</v>
      </c>
      <c r="E385">
        <v>2.2669999999999999E-2</v>
      </c>
      <c r="F385">
        <v>449</v>
      </c>
      <c r="G385">
        <f>IF(OR(C385="",B385="",B385=0),"",5.51*(C385/(B385^3)))</f>
        <v>3.6743294848825685</v>
      </c>
      <c r="H385">
        <v>3100</v>
      </c>
      <c r="I385">
        <v>3.4482358295182631E-3</v>
      </c>
      <c r="J385">
        <v>-0.26</v>
      </c>
      <c r="L385">
        <f>IF(AND(B385&gt;=0.8,B385&lt;=1.5),1,IF(AND(B385&gt;=0.5,B385&lt;=2),0.5,0))</f>
        <v>0</v>
      </c>
      <c r="M385">
        <f>IF(AND(C385&gt;=0.5,C385&lt;=2),1,IF(AND(C385&gt;=0.1,C385&lt;=5),0.5,0))</f>
        <v>0</v>
      </c>
      <c r="N385">
        <f>IF(AND(G385&gt;=4,G385&lt;=7),1,IF(AND(G385&gt;=3,G385&lt;=8),0.5,0))</f>
        <v>0.5</v>
      </c>
      <c r="O385">
        <f>IF(AND(F385&gt;=270,F385&lt;=310),1,IF(AND(F385&gt;=250,F385&lt;=330),0.5,0))</f>
        <v>0</v>
      </c>
      <c r="P385">
        <f>IF(AND(E385&gt;=0.8,E385&lt;=1.5),1,IF(AND(E385&gt;=0.5,E385&lt;=2),0.5,0))</f>
        <v>0</v>
      </c>
      <c r="Q385">
        <f>IF(AND(H385&gt;=5000,H385&lt;=6000),1,IF(AND(H385&gt;=4000,H385&lt;5000),0.5,0))</f>
        <v>0</v>
      </c>
      <c r="R385">
        <f>0.35*AVERAGE(L385:M385:N385)+0.3*O385+0.2*P385+0.15*Q385</f>
        <v>5.8333333333333327E-2</v>
      </c>
      <c r="S385" t="str">
        <f>LEFT(K385,1)</f>
        <v/>
      </c>
      <c r="T385">
        <f>IF(S385="G",1,0)</f>
        <v>0</v>
      </c>
      <c r="U385">
        <f>IF(S385="K",1,0)</f>
        <v>0</v>
      </c>
      <c r="V385">
        <f>IF(S385="M",1,0)</f>
        <v>0</v>
      </c>
      <c r="W385">
        <f>IF(S385="F",1,0)</f>
        <v>0</v>
      </c>
    </row>
    <row r="386" spans="1:23" x14ac:dyDescent="0.3">
      <c r="A386" t="s">
        <v>367</v>
      </c>
      <c r="B386">
        <v>4.26</v>
      </c>
      <c r="D386">
        <v>2.702969</v>
      </c>
      <c r="E386">
        <v>3.3000000000000002E-2</v>
      </c>
      <c r="F386">
        <v>705</v>
      </c>
      <c r="G386" t="str">
        <f>IF(OR(C386="",B386="",B386=0),"",5.51*(C386/(B386^3)))</f>
        <v/>
      </c>
      <c r="H386">
        <v>3530</v>
      </c>
      <c r="I386">
        <v>4.4787290459795119E-2</v>
      </c>
      <c r="J386">
        <v>0.21</v>
      </c>
      <c r="L386">
        <f>IF(AND(B386&gt;=0.8,B386&lt;=1.5),1,IF(AND(B386&gt;=0.5,B386&lt;=2),0.5,0))</f>
        <v>0</v>
      </c>
      <c r="M386">
        <f>IF(AND(C386&gt;=0.5,C386&lt;=2),1,IF(AND(C386&gt;=0.1,C386&lt;=5),0.5,0))</f>
        <v>0</v>
      </c>
      <c r="N386">
        <f>IF(AND(G386&gt;=4,G386&lt;=7),1,IF(AND(G386&gt;=3,G386&lt;=8),0.5,0))</f>
        <v>0</v>
      </c>
      <c r="O386">
        <f>IF(AND(F386&gt;=270,F386&lt;=310),1,IF(AND(F386&gt;=250,F386&lt;=330),0.5,0))</f>
        <v>0</v>
      </c>
      <c r="P386">
        <f>IF(AND(E386&gt;=0.8,E386&lt;=1.5),1,IF(AND(E386&gt;=0.5,E386&lt;=2),0.5,0))</f>
        <v>0</v>
      </c>
      <c r="Q386">
        <f>IF(AND(H386&gt;=5000,H386&lt;=6000),1,IF(AND(H386&gt;=4000,H386&lt;5000),0.5,0))</f>
        <v>0</v>
      </c>
      <c r="R386">
        <f>0.35*AVERAGE(L386:M386:N386)+0.3*O386+0.2*P386+0.15*Q386</f>
        <v>0</v>
      </c>
      <c r="S386" t="str">
        <f>LEFT(K386,1)</f>
        <v/>
      </c>
      <c r="T386">
        <f>IF(S386="G",1,0)</f>
        <v>0</v>
      </c>
      <c r="U386">
        <f>IF(S386="K",1,0)</f>
        <v>0</v>
      </c>
      <c r="V386">
        <f>IF(S386="M",1,0)</f>
        <v>0</v>
      </c>
      <c r="W386">
        <f>IF(S386="F",1,0)</f>
        <v>0</v>
      </c>
    </row>
    <row r="387" spans="1:23" x14ac:dyDescent="0.3">
      <c r="A387" t="s">
        <v>366</v>
      </c>
      <c r="B387">
        <v>1.68</v>
      </c>
      <c r="D387">
        <v>0.78269420000000001</v>
      </c>
      <c r="E387">
        <v>1.44E-2</v>
      </c>
      <c r="F387">
        <v>1355</v>
      </c>
      <c r="G387" t="str">
        <f>IF(OR(C387="",B387="",B387=0),"",5.51*(C387/(B387^3)))</f>
        <v/>
      </c>
      <c r="H387">
        <v>4099</v>
      </c>
      <c r="I387">
        <v>0.11711684073737955</v>
      </c>
      <c r="L387">
        <f>IF(AND(B387&gt;=0.8,B387&lt;=1.5),1,IF(AND(B387&gt;=0.5,B387&lt;=2),0.5,0))</f>
        <v>0.5</v>
      </c>
      <c r="M387">
        <f>IF(AND(C387&gt;=0.5,C387&lt;=2),1,IF(AND(C387&gt;=0.1,C387&lt;=5),0.5,0))</f>
        <v>0</v>
      </c>
      <c r="N387">
        <f>IF(AND(G387&gt;=4,G387&lt;=7),1,IF(AND(G387&gt;=3,G387&lt;=8),0.5,0))</f>
        <v>0</v>
      </c>
      <c r="O387">
        <f>IF(AND(F387&gt;=270,F387&lt;=310),1,IF(AND(F387&gt;=250,F387&lt;=330),0.5,0))</f>
        <v>0</v>
      </c>
      <c r="P387">
        <f>IF(AND(E387&gt;=0.8,E387&lt;=1.5),1,IF(AND(E387&gt;=0.5,E387&lt;=2),0.5,0))</f>
        <v>0</v>
      </c>
      <c r="Q387">
        <f>IF(AND(H387&gt;=5000,H387&lt;=6000),1,IF(AND(H387&gt;=4000,H387&lt;5000),0.5,0))</f>
        <v>0.5</v>
      </c>
      <c r="R387">
        <f>0.35*AVERAGE(L387:M387:N387)+0.3*O387+0.2*P387+0.15*Q387</f>
        <v>0.13333333333333333</v>
      </c>
      <c r="S387" t="str">
        <f>LEFT(K387,1)</f>
        <v/>
      </c>
      <c r="T387">
        <f>IF(S387="G",1,0)</f>
        <v>0</v>
      </c>
      <c r="U387">
        <f>IF(S387="K",1,0)</f>
        <v>0</v>
      </c>
      <c r="V387">
        <f>IF(S387="M",1,0)</f>
        <v>0</v>
      </c>
      <c r="W387">
        <f>IF(S387="F",1,0)</f>
        <v>0</v>
      </c>
    </row>
    <row r="388" spans="1:23" x14ac:dyDescent="0.3">
      <c r="A388" t="s">
        <v>365</v>
      </c>
      <c r="B388">
        <v>9.8639030200000004</v>
      </c>
      <c r="C388">
        <v>953.48522100000002</v>
      </c>
      <c r="D388">
        <v>8.2754790000000007</v>
      </c>
      <c r="E388">
        <v>8.3099999999999993E-2</v>
      </c>
      <c r="F388">
        <v>1080</v>
      </c>
      <c r="G388">
        <f>IF(OR(C388="",B388="",B388=0),"",5.51*(C388/(B388^3)))</f>
        <v>5.4741813863027824</v>
      </c>
      <c r="H388">
        <v>5808</v>
      </c>
      <c r="I388">
        <v>1.5596718085356014</v>
      </c>
      <c r="J388">
        <v>0.32</v>
      </c>
      <c r="L388">
        <f>IF(AND(B388&gt;=0.8,B388&lt;=1.5),1,IF(AND(B388&gt;=0.5,B388&lt;=2),0.5,0))</f>
        <v>0</v>
      </c>
      <c r="M388">
        <f>IF(AND(C388&gt;=0.5,C388&lt;=2),1,IF(AND(C388&gt;=0.1,C388&lt;=5),0.5,0))</f>
        <v>0</v>
      </c>
      <c r="N388">
        <f>IF(AND(G388&gt;=4,G388&lt;=7),1,IF(AND(G388&gt;=3,G388&lt;=8),0.5,0))</f>
        <v>1</v>
      </c>
      <c r="O388">
        <f>IF(AND(F388&gt;=270,F388&lt;=310),1,IF(AND(F388&gt;=250,F388&lt;=330),0.5,0))</f>
        <v>0</v>
      </c>
      <c r="P388">
        <f>IF(AND(E388&gt;=0.8,E388&lt;=1.5),1,IF(AND(E388&gt;=0.5,E388&lt;=2),0.5,0))</f>
        <v>0</v>
      </c>
      <c r="Q388">
        <f>IF(AND(H388&gt;=5000,H388&lt;=6000),1,IF(AND(H388&gt;=4000,H388&lt;5000),0.5,0))</f>
        <v>1</v>
      </c>
      <c r="R388">
        <f>0.35*AVERAGE(L388:M388:N388)+0.3*O388+0.2*P388+0.15*Q388</f>
        <v>0.26666666666666666</v>
      </c>
      <c r="S388" t="str">
        <f>LEFT(K388,1)</f>
        <v/>
      </c>
      <c r="T388">
        <f>IF(S388="G",1,0)</f>
        <v>0</v>
      </c>
      <c r="U388">
        <f>IF(S388="K",1,0)</f>
        <v>0</v>
      </c>
      <c r="V388">
        <f>IF(S388="M",1,0)</f>
        <v>0</v>
      </c>
      <c r="W388">
        <f>IF(S388="F",1,0)</f>
        <v>0</v>
      </c>
    </row>
    <row r="389" spans="1:23" x14ac:dyDescent="0.3">
      <c r="A389" t="s">
        <v>364</v>
      </c>
      <c r="B389">
        <v>10.36830715</v>
      </c>
      <c r="C389">
        <v>105.83685953</v>
      </c>
      <c r="D389">
        <v>4.3474031999999996</v>
      </c>
      <c r="E389">
        <v>5.4300000000000001E-2</v>
      </c>
      <c r="F389">
        <v>1534</v>
      </c>
      <c r="G389">
        <f>IF(OR(C389="",B389="",B389=0),"",5.51*(C389/(B389^3)))</f>
        <v>0.52319668165252231</v>
      </c>
      <c r="H389">
        <v>5607</v>
      </c>
      <c r="I389">
        <v>2.7157398918047391</v>
      </c>
      <c r="J389">
        <v>0.19</v>
      </c>
      <c r="L389">
        <f>IF(AND(B389&gt;=0.8,B389&lt;=1.5),1,IF(AND(B389&gt;=0.5,B389&lt;=2),0.5,0))</f>
        <v>0</v>
      </c>
      <c r="M389">
        <f>IF(AND(C389&gt;=0.5,C389&lt;=2),1,IF(AND(C389&gt;=0.1,C389&lt;=5),0.5,0))</f>
        <v>0</v>
      </c>
      <c r="N389">
        <f>IF(AND(G389&gt;=4,G389&lt;=7),1,IF(AND(G389&gt;=3,G389&lt;=8),0.5,0))</f>
        <v>0</v>
      </c>
      <c r="O389">
        <f>IF(AND(F389&gt;=270,F389&lt;=310),1,IF(AND(F389&gt;=250,F389&lt;=330),0.5,0))</f>
        <v>0</v>
      </c>
      <c r="P389">
        <f>IF(AND(E389&gt;=0.8,E389&lt;=1.5),1,IF(AND(E389&gt;=0.5,E389&lt;=2),0.5,0))</f>
        <v>0</v>
      </c>
      <c r="Q389">
        <f>IF(AND(H389&gt;=5000,H389&lt;=6000),1,IF(AND(H389&gt;=4000,H389&lt;5000),0.5,0))</f>
        <v>1</v>
      </c>
      <c r="R389">
        <f>0.35*AVERAGE(L389:M389:N389)+0.3*O389+0.2*P389+0.15*Q389</f>
        <v>0.15</v>
      </c>
      <c r="S389" t="str">
        <f>LEFT(K389,1)</f>
        <v/>
      </c>
      <c r="T389">
        <f>IF(S389="G",1,0)</f>
        <v>0</v>
      </c>
      <c r="U389">
        <f>IF(S389="K",1,0)</f>
        <v>0</v>
      </c>
      <c r="V389">
        <f>IF(S389="M",1,0)</f>
        <v>0</v>
      </c>
      <c r="W389">
        <f>IF(S389="F",1,0)</f>
        <v>0</v>
      </c>
    </row>
    <row r="390" spans="1:23" x14ac:dyDescent="0.3">
      <c r="A390" t="s">
        <v>363</v>
      </c>
      <c r="B390">
        <v>1.8</v>
      </c>
      <c r="D390">
        <v>1.3060011</v>
      </c>
      <c r="E390">
        <v>2.0199999999999999E-2</v>
      </c>
      <c r="F390">
        <v>1117</v>
      </c>
      <c r="G390" t="str">
        <f>IF(OR(C390="",B390="",B390=0),"",5.51*(C390/(B390^3)))</f>
        <v/>
      </c>
      <c r="H390">
        <v>4072</v>
      </c>
      <c r="I390">
        <v>0.10421917730441509</v>
      </c>
      <c r="L390">
        <f>IF(AND(B390&gt;=0.8,B390&lt;=1.5),1,IF(AND(B390&gt;=0.5,B390&lt;=2),0.5,0))</f>
        <v>0.5</v>
      </c>
      <c r="M390">
        <f>IF(AND(C390&gt;=0.5,C390&lt;=2),1,IF(AND(C390&gt;=0.1,C390&lt;=5),0.5,0))</f>
        <v>0</v>
      </c>
      <c r="N390">
        <f>IF(AND(G390&gt;=4,G390&lt;=7),1,IF(AND(G390&gt;=3,G390&lt;=8),0.5,0))</f>
        <v>0</v>
      </c>
      <c r="O390">
        <f>IF(AND(F390&gt;=270,F390&lt;=310),1,IF(AND(F390&gt;=250,F390&lt;=330),0.5,0))</f>
        <v>0</v>
      </c>
      <c r="P390">
        <f>IF(AND(E390&gt;=0.8,E390&lt;=1.5),1,IF(AND(E390&gt;=0.5,E390&lt;=2),0.5,0))</f>
        <v>0</v>
      </c>
      <c r="Q390">
        <f>IF(AND(H390&gt;=5000,H390&lt;=6000),1,IF(AND(H390&gt;=4000,H390&lt;5000),0.5,0))</f>
        <v>0.5</v>
      </c>
      <c r="R390">
        <f>0.35*AVERAGE(L390:M390:N390)+0.3*O390+0.2*P390+0.15*Q390</f>
        <v>0.13333333333333333</v>
      </c>
      <c r="S390" t="str">
        <f>LEFT(K390,1)</f>
        <v/>
      </c>
      <c r="T390">
        <f>IF(S390="G",1,0)</f>
        <v>0</v>
      </c>
      <c r="U390">
        <f>IF(S390="K",1,0)</f>
        <v>0</v>
      </c>
      <c r="V390">
        <f>IF(S390="M",1,0)</f>
        <v>0</v>
      </c>
      <c r="W390">
        <f>IF(S390="F",1,0)</f>
        <v>0</v>
      </c>
    </row>
    <row r="391" spans="1:23" x14ac:dyDescent="0.3">
      <c r="A391" t="s">
        <v>362</v>
      </c>
      <c r="B391">
        <v>1.52</v>
      </c>
      <c r="C391">
        <v>2.68</v>
      </c>
      <c r="D391">
        <v>7.3972249999999997</v>
      </c>
      <c r="E391">
        <v>5.5899999999999998E-2</v>
      </c>
      <c r="F391">
        <v>458</v>
      </c>
      <c r="G391">
        <f>IF(OR(C391="",B391="",B391=0),"",5.51*(C391/(B391^3)))</f>
        <v>4.2048995844875341</v>
      </c>
      <c r="H391">
        <v>3433</v>
      </c>
      <c r="I391">
        <v>2.2615399392406251E-2</v>
      </c>
      <c r="J391">
        <v>-0.39</v>
      </c>
      <c r="K391" t="s">
        <v>0</v>
      </c>
      <c r="L391">
        <f>IF(AND(B391&gt;=0.8,B391&lt;=1.5),1,IF(AND(B391&gt;=0.5,B391&lt;=2),0.5,0))</f>
        <v>0.5</v>
      </c>
      <c r="M391">
        <f>IF(AND(C391&gt;=0.5,C391&lt;=2),1,IF(AND(C391&gt;=0.1,C391&lt;=5),0.5,0))</f>
        <v>0.5</v>
      </c>
      <c r="N391">
        <f>IF(AND(G391&gt;=4,G391&lt;=7),1,IF(AND(G391&gt;=3,G391&lt;=8),0.5,0))</f>
        <v>1</v>
      </c>
      <c r="O391">
        <f>IF(AND(F391&gt;=270,F391&lt;=310),1,IF(AND(F391&gt;=250,F391&lt;=330),0.5,0))</f>
        <v>0</v>
      </c>
      <c r="P391">
        <f>IF(AND(E391&gt;=0.8,E391&lt;=1.5),1,IF(AND(E391&gt;=0.5,E391&lt;=2),0.5,0))</f>
        <v>0</v>
      </c>
      <c r="Q391">
        <f>IF(AND(H391&gt;=5000,H391&lt;=6000),1,IF(AND(H391&gt;=4000,H391&lt;5000),0.5,0))</f>
        <v>0</v>
      </c>
      <c r="R391">
        <f>0.35*AVERAGE(L391:M391:N391)+0.3*O391+0.2*P391+0.15*Q391</f>
        <v>0.23333333333333331</v>
      </c>
      <c r="S391" t="str">
        <f>LEFT(K391,1)</f>
        <v>M</v>
      </c>
      <c r="T391">
        <f>IF(S391="G",1,0)</f>
        <v>0</v>
      </c>
      <c r="U391">
        <f>IF(S391="K",1,0)</f>
        <v>0</v>
      </c>
      <c r="V391">
        <f>IF(S391="M",1,0)</f>
        <v>1</v>
      </c>
      <c r="W391">
        <f>IF(S391="F",1,0)</f>
        <v>0</v>
      </c>
    </row>
    <row r="392" spans="1:23" x14ac:dyDescent="0.3">
      <c r="A392" t="s">
        <v>361</v>
      </c>
      <c r="B392">
        <v>2.363</v>
      </c>
      <c r="C392">
        <v>4.8</v>
      </c>
      <c r="D392">
        <v>15.66858</v>
      </c>
      <c r="E392">
        <v>0.105</v>
      </c>
      <c r="F392">
        <v>519</v>
      </c>
      <c r="G392">
        <f>IF(OR(C392="",B392="",B392=0),"",5.51*(C392/(B392^3)))</f>
        <v>2.0044797413503739</v>
      </c>
      <c r="H392">
        <v>4375</v>
      </c>
      <c r="I392">
        <v>0.13087623650914082</v>
      </c>
      <c r="J392">
        <v>-0.28999999999999998</v>
      </c>
      <c r="K392" t="s">
        <v>360</v>
      </c>
      <c r="L392">
        <f>IF(AND(B392&gt;=0.8,B392&lt;=1.5),1,IF(AND(B392&gt;=0.5,B392&lt;=2),0.5,0))</f>
        <v>0</v>
      </c>
      <c r="M392">
        <f>IF(AND(C392&gt;=0.5,C392&lt;=2),1,IF(AND(C392&gt;=0.1,C392&lt;=5),0.5,0))</f>
        <v>0.5</v>
      </c>
      <c r="N392">
        <f>IF(AND(G392&gt;=4,G392&lt;=7),1,IF(AND(G392&gt;=3,G392&lt;=8),0.5,0))</f>
        <v>0</v>
      </c>
      <c r="O392">
        <f>IF(AND(F392&gt;=270,F392&lt;=310),1,IF(AND(F392&gt;=250,F392&lt;=330),0.5,0))</f>
        <v>0</v>
      </c>
      <c r="P392">
        <f>IF(AND(E392&gt;=0.8,E392&lt;=1.5),1,IF(AND(E392&gt;=0.5,E392&lt;=2),0.5,0))</f>
        <v>0</v>
      </c>
      <c r="Q392">
        <f>IF(AND(H392&gt;=5000,H392&lt;=6000),1,IF(AND(H392&gt;=4000,H392&lt;5000),0.5,0))</f>
        <v>0.5</v>
      </c>
      <c r="R392">
        <f>0.35*AVERAGE(L392:M392:N392)+0.3*O392+0.2*P392+0.15*Q392</f>
        <v>0.13333333333333333</v>
      </c>
      <c r="S392" t="str">
        <f>LEFT(K392,1)</f>
        <v>K</v>
      </c>
      <c r="T392">
        <f>IF(S392="G",1,0)</f>
        <v>0</v>
      </c>
      <c r="U392">
        <f>IF(S392="K",1,0)</f>
        <v>1</v>
      </c>
      <c r="V392">
        <f>IF(S392="M",1,0)</f>
        <v>0</v>
      </c>
      <c r="W392">
        <f>IF(S392="F",1,0)</f>
        <v>0</v>
      </c>
    </row>
    <row r="393" spans="1:23" x14ac:dyDescent="0.3">
      <c r="A393" t="s">
        <v>359</v>
      </c>
      <c r="B393">
        <v>1.25</v>
      </c>
      <c r="D393">
        <v>0.37112810000000002</v>
      </c>
      <c r="E393">
        <v>6.4000000000000003E-3</v>
      </c>
      <c r="F393">
        <v>1060</v>
      </c>
      <c r="G393" t="str">
        <f>IF(OR(C393="",B393="",B393=0),"",5.51*(C393/(B393^3)))</f>
        <v/>
      </c>
      <c r="H393">
        <v>3333</v>
      </c>
      <c r="I393">
        <v>8.071581438015122E-3</v>
      </c>
      <c r="L393">
        <f>IF(AND(B393&gt;=0.8,B393&lt;=1.5),1,IF(AND(B393&gt;=0.5,B393&lt;=2),0.5,0))</f>
        <v>1</v>
      </c>
      <c r="M393">
        <f>IF(AND(C393&gt;=0.5,C393&lt;=2),1,IF(AND(C393&gt;=0.1,C393&lt;=5),0.5,0))</f>
        <v>0</v>
      </c>
      <c r="N393">
        <f>IF(AND(G393&gt;=4,G393&lt;=7),1,IF(AND(G393&gt;=3,G393&lt;=8),0.5,0))</f>
        <v>0</v>
      </c>
      <c r="O393">
        <f>IF(AND(F393&gt;=270,F393&lt;=310),1,IF(AND(F393&gt;=250,F393&lt;=330),0.5,0))</f>
        <v>0</v>
      </c>
      <c r="P393">
        <f>IF(AND(E393&gt;=0.8,E393&lt;=1.5),1,IF(AND(E393&gt;=0.5,E393&lt;=2),0.5,0))</f>
        <v>0</v>
      </c>
      <c r="Q393">
        <f>IF(AND(H393&gt;=5000,H393&lt;=6000),1,IF(AND(H393&gt;=4000,H393&lt;5000),0.5,0))</f>
        <v>0</v>
      </c>
      <c r="R393">
        <f>0.35*AVERAGE(L393:M393:N393)+0.3*O393+0.2*P393+0.15*Q393</f>
        <v>0.11666666666666665</v>
      </c>
      <c r="S393" t="str">
        <f>LEFT(K393,1)</f>
        <v/>
      </c>
      <c r="T393">
        <f>IF(S393="G",1,0)</f>
        <v>0</v>
      </c>
      <c r="U393">
        <f>IF(S393="K",1,0)</f>
        <v>0</v>
      </c>
      <c r="V393">
        <f>IF(S393="M",1,0)</f>
        <v>0</v>
      </c>
      <c r="W393">
        <f>IF(S393="F",1,0)</f>
        <v>0</v>
      </c>
    </row>
    <row r="394" spans="1:23" x14ac:dyDescent="0.3">
      <c r="A394" t="s">
        <v>358</v>
      </c>
      <c r="B394">
        <v>9.6060964599999998</v>
      </c>
      <c r="C394">
        <v>124.90656395000001</v>
      </c>
      <c r="D394">
        <v>69.336839999999995</v>
      </c>
      <c r="E394">
        <v>0.34699999999999998</v>
      </c>
      <c r="F394">
        <v>414</v>
      </c>
      <c r="G394">
        <f>IF(OR(C394="",B394="",B394=0),"",5.51*(C394/(B394^3)))</f>
        <v>0.77641877804111736</v>
      </c>
      <c r="H394">
        <v>5730</v>
      </c>
      <c r="I394">
        <v>0.97882330109989824</v>
      </c>
      <c r="J394">
        <v>0.18</v>
      </c>
      <c r="L394">
        <f>IF(AND(B394&gt;=0.8,B394&lt;=1.5),1,IF(AND(B394&gt;=0.5,B394&lt;=2),0.5,0))</f>
        <v>0</v>
      </c>
      <c r="M394">
        <f>IF(AND(C394&gt;=0.5,C394&lt;=2),1,IF(AND(C394&gt;=0.1,C394&lt;=5),0.5,0))</f>
        <v>0</v>
      </c>
      <c r="N394">
        <f>IF(AND(G394&gt;=4,G394&lt;=7),1,IF(AND(G394&gt;=3,G394&lt;=8),0.5,0))</f>
        <v>0</v>
      </c>
      <c r="O394">
        <f>IF(AND(F394&gt;=270,F394&lt;=310),1,IF(AND(F394&gt;=250,F394&lt;=330),0.5,0))</f>
        <v>0</v>
      </c>
      <c r="P394">
        <f>IF(AND(E394&gt;=0.8,E394&lt;=1.5),1,IF(AND(E394&gt;=0.5,E394&lt;=2),0.5,0))</f>
        <v>0</v>
      </c>
      <c r="Q394">
        <f>IF(AND(H394&gt;=5000,H394&lt;=6000),1,IF(AND(H394&gt;=4000,H394&lt;5000),0.5,0))</f>
        <v>1</v>
      </c>
      <c r="R394">
        <f>0.35*AVERAGE(L394:M394:N394)+0.3*O394+0.2*P394+0.15*Q394</f>
        <v>0.15</v>
      </c>
      <c r="S394" t="str">
        <f>LEFT(K394,1)</f>
        <v/>
      </c>
      <c r="T394">
        <f>IF(S394="G",1,0)</f>
        <v>0</v>
      </c>
      <c r="U394">
        <f>IF(S394="K",1,0)</f>
        <v>0</v>
      </c>
      <c r="V394">
        <f>IF(S394="M",1,0)</f>
        <v>0</v>
      </c>
      <c r="W394">
        <f>IF(S394="F",1,0)</f>
        <v>0</v>
      </c>
    </row>
    <row r="395" spans="1:23" x14ac:dyDescent="0.3">
      <c r="A395" t="s">
        <v>357</v>
      </c>
      <c r="B395">
        <v>11.24</v>
      </c>
      <c r="C395">
        <v>222</v>
      </c>
      <c r="D395">
        <v>106.14467999999999</v>
      </c>
      <c r="E395">
        <v>0.45</v>
      </c>
      <c r="F395">
        <v>400</v>
      </c>
      <c r="G395">
        <f>IF(OR(C395="",B395="",B395=0),"",5.51*(C395/(B395^3)))</f>
        <v>0.86140153157279631</v>
      </c>
      <c r="H395">
        <v>6021</v>
      </c>
      <c r="I395">
        <v>1.3374069457221576</v>
      </c>
      <c r="J395">
        <v>-0.03</v>
      </c>
      <c r="K395" t="s">
        <v>38</v>
      </c>
      <c r="L395">
        <f>IF(AND(B395&gt;=0.8,B395&lt;=1.5),1,IF(AND(B395&gt;=0.5,B395&lt;=2),0.5,0))</f>
        <v>0</v>
      </c>
      <c r="M395">
        <f>IF(AND(C395&gt;=0.5,C395&lt;=2),1,IF(AND(C395&gt;=0.1,C395&lt;=5),0.5,0))</f>
        <v>0</v>
      </c>
      <c r="N395">
        <f>IF(AND(G395&gt;=4,G395&lt;=7),1,IF(AND(G395&gt;=3,G395&lt;=8),0.5,0))</f>
        <v>0</v>
      </c>
      <c r="O395">
        <f>IF(AND(F395&gt;=270,F395&lt;=310),1,IF(AND(F395&gt;=250,F395&lt;=330),0.5,0))</f>
        <v>0</v>
      </c>
      <c r="P395">
        <f>IF(AND(E395&gt;=0.8,E395&lt;=1.5),1,IF(AND(E395&gt;=0.5,E395&lt;=2),0.5,0))</f>
        <v>0</v>
      </c>
      <c r="Q395">
        <f>IF(AND(H395&gt;=5000,H395&lt;=6000),1,IF(AND(H395&gt;=4000,H395&lt;5000),0.5,0))</f>
        <v>0</v>
      </c>
      <c r="R395">
        <f>0.35*AVERAGE(L395:M395:N395)+0.3*O395+0.2*P395+0.15*Q395</f>
        <v>0</v>
      </c>
      <c r="S395" t="str">
        <f>LEFT(K395,1)</f>
        <v>G</v>
      </c>
      <c r="T395">
        <f>IF(S395="G",1,0)</f>
        <v>1</v>
      </c>
      <c r="U395">
        <f>IF(S395="K",1,0)</f>
        <v>0</v>
      </c>
      <c r="V395">
        <f>IF(S395="M",1,0)</f>
        <v>0</v>
      </c>
      <c r="W395">
        <f>IF(S395="F",1,0)</f>
        <v>0</v>
      </c>
    </row>
    <row r="396" spans="1:23" x14ac:dyDescent="0.3">
      <c r="A396" t="s">
        <v>356</v>
      </c>
      <c r="B396">
        <v>2.83</v>
      </c>
      <c r="C396">
        <v>13.31</v>
      </c>
      <c r="D396">
        <v>3.7365900000000001</v>
      </c>
      <c r="E396">
        <v>4.82E-2</v>
      </c>
      <c r="F396">
        <v>1509.4</v>
      </c>
      <c r="G396">
        <f>IF(OR(C396="",B396="",B396=0),"",5.51*(C396/(B396^3)))</f>
        <v>3.235715637378151</v>
      </c>
      <c r="H396">
        <v>6005</v>
      </c>
      <c r="I396">
        <v>2.0020941111963273</v>
      </c>
      <c r="J396">
        <v>-0.1</v>
      </c>
      <c r="K396" t="s">
        <v>355</v>
      </c>
      <c r="L396">
        <f>IF(AND(B396&gt;=0.8,B396&lt;=1.5),1,IF(AND(B396&gt;=0.5,B396&lt;=2),0.5,0))</f>
        <v>0</v>
      </c>
      <c r="M396">
        <f>IF(AND(C396&gt;=0.5,C396&lt;=2),1,IF(AND(C396&gt;=0.1,C396&lt;=5),0.5,0))</f>
        <v>0</v>
      </c>
      <c r="N396">
        <f>IF(AND(G396&gt;=4,G396&lt;=7),1,IF(AND(G396&gt;=3,G396&lt;=8),0.5,0))</f>
        <v>0.5</v>
      </c>
      <c r="O396">
        <f>IF(AND(F396&gt;=270,F396&lt;=310),1,IF(AND(F396&gt;=250,F396&lt;=330),0.5,0))</f>
        <v>0</v>
      </c>
      <c r="P396">
        <f>IF(AND(E396&gt;=0.8,E396&lt;=1.5),1,IF(AND(E396&gt;=0.5,E396&lt;=2),0.5,0))</f>
        <v>0</v>
      </c>
      <c r="Q396">
        <f>IF(AND(H396&gt;=5000,H396&lt;=6000),1,IF(AND(H396&gt;=4000,H396&lt;5000),0.5,0))</f>
        <v>0</v>
      </c>
      <c r="R396">
        <f>0.35*AVERAGE(L396:M396:N396)+0.3*O396+0.2*P396+0.15*Q396</f>
        <v>5.8333333333333327E-2</v>
      </c>
      <c r="S396" t="str">
        <f>LEFT(K396,1)</f>
        <v>F</v>
      </c>
      <c r="T396">
        <f>IF(S396="G",1,0)</f>
        <v>0</v>
      </c>
      <c r="U396">
        <f>IF(S396="K",1,0)</f>
        <v>0</v>
      </c>
      <c r="V396">
        <f>IF(S396="M",1,0)</f>
        <v>0</v>
      </c>
      <c r="W396">
        <f>IF(S396="F",1,0)</f>
        <v>1</v>
      </c>
    </row>
    <row r="397" spans="1:23" x14ac:dyDescent="0.3">
      <c r="A397" t="s">
        <v>354</v>
      </c>
      <c r="B397">
        <v>2.9531000000000001</v>
      </c>
      <c r="D397">
        <v>19.104717999999998</v>
      </c>
      <c r="F397">
        <v>445.01</v>
      </c>
      <c r="G397" t="str">
        <f>IF(OR(C397="",B397="",B397=0),"",5.51*(C397/(B397^3)))</f>
        <v/>
      </c>
      <c r="H397">
        <v>4195</v>
      </c>
      <c r="I397">
        <v>0.12663505012428361</v>
      </c>
      <c r="L397">
        <f>IF(AND(B397&gt;=0.8,B397&lt;=1.5),1,IF(AND(B397&gt;=0.5,B397&lt;=2),0.5,0))</f>
        <v>0</v>
      </c>
      <c r="M397">
        <f>IF(AND(C397&gt;=0.5,C397&lt;=2),1,IF(AND(C397&gt;=0.1,C397&lt;=5),0.5,0))</f>
        <v>0</v>
      </c>
      <c r="N397">
        <f>IF(AND(G397&gt;=4,G397&lt;=7),1,IF(AND(G397&gt;=3,G397&lt;=8),0.5,0))</f>
        <v>0</v>
      </c>
      <c r="O397">
        <f>IF(AND(F397&gt;=270,F397&lt;=310),1,IF(AND(F397&gt;=250,F397&lt;=330),0.5,0))</f>
        <v>0</v>
      </c>
      <c r="P397">
        <f>IF(AND(E397&gt;=0.8,E397&lt;=1.5),1,IF(AND(E397&gt;=0.5,E397&lt;=2),0.5,0))</f>
        <v>0</v>
      </c>
      <c r="Q397">
        <f>IF(AND(H397&gt;=5000,H397&lt;=6000),1,IF(AND(H397&gt;=4000,H397&lt;5000),0.5,0))</f>
        <v>0.5</v>
      </c>
      <c r="R397">
        <f>0.35*AVERAGE(L397:M397:N397)+0.3*O397+0.2*P397+0.15*Q397</f>
        <v>7.4999999999999997E-2</v>
      </c>
      <c r="S397" t="str">
        <f>LEFT(K397,1)</f>
        <v/>
      </c>
      <c r="T397">
        <f>IF(S397="G",1,0)</f>
        <v>0</v>
      </c>
      <c r="U397">
        <f>IF(S397="K",1,0)</f>
        <v>0</v>
      </c>
      <c r="V397">
        <f>IF(S397="M",1,0)</f>
        <v>0</v>
      </c>
      <c r="W397">
        <f>IF(S397="F",1,0)</f>
        <v>0</v>
      </c>
    </row>
    <row r="398" spans="1:23" x14ac:dyDescent="0.3">
      <c r="A398" t="s">
        <v>353</v>
      </c>
      <c r="B398">
        <v>11.141726820000001</v>
      </c>
      <c r="C398">
        <v>1531.93292174</v>
      </c>
      <c r="D398">
        <v>10.655669</v>
      </c>
      <c r="E398">
        <v>0.1166</v>
      </c>
      <c r="F398">
        <v>1595</v>
      </c>
      <c r="G398">
        <f>IF(OR(C398="",B398="",B398=0),"",5.51*(C398/(B398^3)))</f>
        <v>6.1028659454447958</v>
      </c>
      <c r="H398">
        <v>7360</v>
      </c>
      <c r="I398">
        <v>14.663076935013542</v>
      </c>
      <c r="J398">
        <v>9.4E-2</v>
      </c>
      <c r="L398">
        <f>IF(AND(B398&gt;=0.8,B398&lt;=1.5),1,IF(AND(B398&gt;=0.5,B398&lt;=2),0.5,0))</f>
        <v>0</v>
      </c>
      <c r="M398">
        <f>IF(AND(C398&gt;=0.5,C398&lt;=2),1,IF(AND(C398&gt;=0.1,C398&lt;=5),0.5,0))</f>
        <v>0</v>
      </c>
      <c r="N398">
        <f>IF(AND(G398&gt;=4,G398&lt;=7),1,IF(AND(G398&gt;=3,G398&lt;=8),0.5,0))</f>
        <v>1</v>
      </c>
      <c r="O398">
        <f>IF(AND(F398&gt;=270,F398&lt;=310),1,IF(AND(F398&gt;=250,F398&lt;=330),0.5,0))</f>
        <v>0</v>
      </c>
      <c r="P398">
        <f>IF(AND(E398&gt;=0.8,E398&lt;=1.5),1,IF(AND(E398&gt;=0.5,E398&lt;=2),0.5,0))</f>
        <v>0</v>
      </c>
      <c r="Q398">
        <f>IF(AND(H398&gt;=5000,H398&lt;=6000),1,IF(AND(H398&gt;=4000,H398&lt;5000),0.5,0))</f>
        <v>0</v>
      </c>
      <c r="R398">
        <f>0.35*AVERAGE(L398:M398:N398)+0.3*O398+0.2*P398+0.15*Q398</f>
        <v>0.11666666666666665</v>
      </c>
      <c r="S398" t="str">
        <f>LEFT(K398,1)</f>
        <v/>
      </c>
      <c r="T398">
        <f>IF(S398="G",1,0)</f>
        <v>0</v>
      </c>
      <c r="U398">
        <f>IF(S398="K",1,0)</f>
        <v>0</v>
      </c>
      <c r="V398">
        <f>IF(S398="M",1,0)</f>
        <v>0</v>
      </c>
      <c r="W398">
        <f>IF(S398="F",1,0)</f>
        <v>0</v>
      </c>
    </row>
    <row r="399" spans="1:23" x14ac:dyDescent="0.3">
      <c r="A399" t="s">
        <v>352</v>
      </c>
      <c r="B399">
        <v>6.06</v>
      </c>
      <c r="C399">
        <v>34.619999999999997</v>
      </c>
      <c r="D399">
        <v>3.7382520000000001</v>
      </c>
      <c r="E399">
        <v>4.9099999999999998E-2</v>
      </c>
      <c r="F399">
        <v>1443</v>
      </c>
      <c r="G399">
        <f>IF(OR(C399="",B399="",B399=0),"",5.51*(C399/(B399^3)))</f>
        <v>0.85715781655608947</v>
      </c>
      <c r="H399">
        <v>5905</v>
      </c>
      <c r="I399">
        <v>1.7318510928651099</v>
      </c>
      <c r="J399">
        <v>0.16700000000000001</v>
      </c>
      <c r="L399">
        <f>IF(AND(B399&gt;=0.8,B399&lt;=1.5),1,IF(AND(B399&gt;=0.5,B399&lt;=2),0.5,0))</f>
        <v>0</v>
      </c>
      <c r="M399">
        <f>IF(AND(C399&gt;=0.5,C399&lt;=2),1,IF(AND(C399&gt;=0.1,C399&lt;=5),0.5,0))</f>
        <v>0</v>
      </c>
      <c r="N399">
        <f>IF(AND(G399&gt;=4,G399&lt;=7),1,IF(AND(G399&gt;=3,G399&lt;=8),0.5,0))</f>
        <v>0</v>
      </c>
      <c r="O399">
        <f>IF(AND(F399&gt;=270,F399&lt;=310),1,IF(AND(F399&gt;=250,F399&lt;=330),0.5,0))</f>
        <v>0</v>
      </c>
      <c r="P399">
        <f>IF(AND(E399&gt;=0.8,E399&lt;=1.5),1,IF(AND(E399&gt;=0.5,E399&lt;=2),0.5,0))</f>
        <v>0</v>
      </c>
      <c r="Q399">
        <f>IF(AND(H399&gt;=5000,H399&lt;=6000),1,IF(AND(H399&gt;=4000,H399&lt;5000),0.5,0))</f>
        <v>1</v>
      </c>
      <c r="R399">
        <f>0.35*AVERAGE(L399:M399:N399)+0.3*O399+0.2*P399+0.15*Q399</f>
        <v>0.15</v>
      </c>
      <c r="S399" t="str">
        <f>LEFT(K399,1)</f>
        <v/>
      </c>
      <c r="T399">
        <f>IF(S399="G",1,0)</f>
        <v>0</v>
      </c>
      <c r="U399">
        <f>IF(S399="K",1,0)</f>
        <v>0</v>
      </c>
      <c r="V399">
        <f>IF(S399="M",1,0)</f>
        <v>0</v>
      </c>
      <c r="W399">
        <f>IF(S399="F",1,0)</f>
        <v>0</v>
      </c>
    </row>
    <row r="400" spans="1:23" x14ac:dyDescent="0.3">
      <c r="A400" t="s">
        <v>351</v>
      </c>
      <c r="B400">
        <v>2.74</v>
      </c>
      <c r="C400">
        <v>317.83</v>
      </c>
      <c r="D400">
        <v>4.9377700000000004</v>
      </c>
      <c r="E400">
        <v>5.7410000000000003E-2</v>
      </c>
      <c r="G400">
        <f>IF(OR(C400="",B400="",B400=0),"",5.51*(C400/(B400^3)))</f>
        <v>85.132384585080274</v>
      </c>
      <c r="H400">
        <v>5875</v>
      </c>
      <c r="I400">
        <v>0.82960841875683378</v>
      </c>
      <c r="J400">
        <v>-0.106</v>
      </c>
      <c r="L400">
        <f>IF(AND(B400&gt;=0.8,B400&lt;=1.5),1,IF(AND(B400&gt;=0.5,B400&lt;=2),0.5,0))</f>
        <v>0</v>
      </c>
      <c r="M400">
        <f>IF(AND(C400&gt;=0.5,C400&lt;=2),1,IF(AND(C400&gt;=0.1,C400&lt;=5),0.5,0))</f>
        <v>0</v>
      </c>
      <c r="N400">
        <f>IF(AND(G400&gt;=4,G400&lt;=7),1,IF(AND(G400&gt;=3,G400&lt;=8),0.5,0))</f>
        <v>0</v>
      </c>
      <c r="O400">
        <f>IF(AND(F400&gt;=270,F400&lt;=310),1,IF(AND(F400&gt;=250,F400&lt;=330),0.5,0))</f>
        <v>0</v>
      </c>
      <c r="P400">
        <f>IF(AND(E400&gt;=0.8,E400&lt;=1.5),1,IF(AND(E400&gt;=0.5,E400&lt;=2),0.5,0))</f>
        <v>0</v>
      </c>
      <c r="Q400">
        <f>IF(AND(H400&gt;=5000,H400&lt;=6000),1,IF(AND(H400&gt;=4000,H400&lt;5000),0.5,0))</f>
        <v>1</v>
      </c>
      <c r="R400">
        <f>0.35*AVERAGE(L400:M400:N400)+0.3*O400+0.2*P400+0.15*Q400</f>
        <v>0.15</v>
      </c>
      <c r="S400" t="str">
        <f>LEFT(K400,1)</f>
        <v/>
      </c>
      <c r="T400">
        <f>IF(S400="G",1,0)</f>
        <v>0</v>
      </c>
      <c r="U400">
        <f>IF(S400="K",1,0)</f>
        <v>0</v>
      </c>
      <c r="V400">
        <f>IF(S400="M",1,0)</f>
        <v>0</v>
      </c>
      <c r="W400">
        <f>IF(S400="F",1,0)</f>
        <v>0</v>
      </c>
    </row>
    <row r="401" spans="1:23" x14ac:dyDescent="0.3">
      <c r="A401" t="s">
        <v>350</v>
      </c>
      <c r="B401">
        <v>11.2089807</v>
      </c>
      <c r="C401">
        <v>203.41018048000001</v>
      </c>
      <c r="D401">
        <v>7.1858500000000003</v>
      </c>
      <c r="E401">
        <v>7.2999999999999995E-2</v>
      </c>
      <c r="F401">
        <v>1100</v>
      </c>
      <c r="G401">
        <f>IF(OR(C401="",B401="",B401=0),"",5.51*(C401/(B401^3)))</f>
        <v>0.79584028634131165</v>
      </c>
      <c r="H401">
        <v>5831</v>
      </c>
      <c r="I401">
        <v>1.2987399165599598</v>
      </c>
      <c r="J401">
        <v>0.06</v>
      </c>
      <c r="L401">
        <f>IF(AND(B401&gt;=0.8,B401&lt;=1.5),1,IF(AND(B401&gt;=0.5,B401&lt;=2),0.5,0))</f>
        <v>0</v>
      </c>
      <c r="M401">
        <f>IF(AND(C401&gt;=0.5,C401&lt;=2),1,IF(AND(C401&gt;=0.1,C401&lt;=5),0.5,0))</f>
        <v>0</v>
      </c>
      <c r="N401">
        <f>IF(AND(G401&gt;=4,G401&lt;=7),1,IF(AND(G401&gt;=3,G401&lt;=8),0.5,0))</f>
        <v>0</v>
      </c>
      <c r="O401">
        <f>IF(AND(F401&gt;=270,F401&lt;=310),1,IF(AND(F401&gt;=250,F401&lt;=330),0.5,0))</f>
        <v>0</v>
      </c>
      <c r="P401">
        <f>IF(AND(E401&gt;=0.8,E401&lt;=1.5),1,IF(AND(E401&gt;=0.5,E401&lt;=2),0.5,0))</f>
        <v>0</v>
      </c>
      <c r="Q401">
        <f>IF(AND(H401&gt;=5000,H401&lt;=6000),1,IF(AND(H401&gt;=4000,H401&lt;5000),0.5,0))</f>
        <v>1</v>
      </c>
      <c r="R401">
        <f>0.35*AVERAGE(L401:M401:N401)+0.3*O401+0.2*P401+0.15*Q401</f>
        <v>0.15</v>
      </c>
      <c r="S401" t="str">
        <f>LEFT(K401,1)</f>
        <v/>
      </c>
      <c r="T401">
        <f>IF(S401="G",1,0)</f>
        <v>0</v>
      </c>
      <c r="U401">
        <f>IF(S401="K",1,0)</f>
        <v>0</v>
      </c>
      <c r="V401">
        <f>IF(S401="M",1,0)</f>
        <v>0</v>
      </c>
      <c r="W401">
        <f>IF(S401="F",1,0)</f>
        <v>0</v>
      </c>
    </row>
    <row r="402" spans="1:23" x14ac:dyDescent="0.3">
      <c r="A402" t="s">
        <v>349</v>
      </c>
      <c r="B402">
        <v>8.6757510599999996</v>
      </c>
      <c r="C402">
        <v>26.697586189999999</v>
      </c>
      <c r="D402">
        <v>23.285599999999999</v>
      </c>
      <c r="E402">
        <v>0.15110000000000001</v>
      </c>
      <c r="G402">
        <f>IF(OR(C402="",B402="",B402=0),"",5.51*(C402/(B402^3)))</f>
        <v>0.22526947669768219</v>
      </c>
      <c r="H402">
        <v>5096</v>
      </c>
      <c r="I402">
        <v>0.37286089763119434</v>
      </c>
      <c r="J402">
        <v>0.14000000000000001</v>
      </c>
      <c r="K402" t="s">
        <v>336</v>
      </c>
      <c r="L402">
        <f>IF(AND(B402&gt;=0.8,B402&lt;=1.5),1,IF(AND(B402&gt;=0.5,B402&lt;=2),0.5,0))</f>
        <v>0</v>
      </c>
      <c r="M402">
        <f>IF(AND(C402&gt;=0.5,C402&lt;=2),1,IF(AND(C402&gt;=0.1,C402&lt;=5),0.5,0))</f>
        <v>0</v>
      </c>
      <c r="N402">
        <f>IF(AND(G402&gt;=4,G402&lt;=7),1,IF(AND(G402&gt;=3,G402&lt;=8),0.5,0))</f>
        <v>0</v>
      </c>
      <c r="O402">
        <f>IF(AND(F402&gt;=270,F402&lt;=310),1,IF(AND(F402&gt;=250,F402&lt;=330),0.5,0))</f>
        <v>0</v>
      </c>
      <c r="P402">
        <f>IF(AND(E402&gt;=0.8,E402&lt;=1.5),1,IF(AND(E402&gt;=0.5,E402&lt;=2),0.5,0))</f>
        <v>0</v>
      </c>
      <c r="Q402">
        <f>IF(AND(H402&gt;=5000,H402&lt;=6000),1,IF(AND(H402&gt;=4000,H402&lt;5000),0.5,0))</f>
        <v>1</v>
      </c>
      <c r="R402">
        <f>0.35*AVERAGE(L402:M402:N402)+0.3*O402+0.2*P402+0.15*Q402</f>
        <v>0.15</v>
      </c>
      <c r="S402" t="str">
        <f>LEFT(K402,1)</f>
        <v>K</v>
      </c>
      <c r="T402">
        <f>IF(S402="G",1,0)</f>
        <v>0</v>
      </c>
      <c r="U402">
        <f>IF(S402="K",1,0)</f>
        <v>1</v>
      </c>
      <c r="V402">
        <f>IF(S402="M",1,0)</f>
        <v>0</v>
      </c>
      <c r="W402">
        <f>IF(S402="F",1,0)</f>
        <v>0</v>
      </c>
    </row>
    <row r="403" spans="1:23" x14ac:dyDescent="0.3">
      <c r="A403" t="s">
        <v>348</v>
      </c>
      <c r="B403">
        <v>10.132918549999999</v>
      </c>
      <c r="C403">
        <v>208.81326340000001</v>
      </c>
      <c r="D403">
        <v>49.251899999999999</v>
      </c>
      <c r="E403">
        <v>0.249</v>
      </c>
      <c r="G403">
        <f>IF(OR(C403="",B403="",B403=0),"",5.51*(C403/(B403^3)))</f>
        <v>1.105874959462557</v>
      </c>
      <c r="H403">
        <v>5096</v>
      </c>
      <c r="I403">
        <v>0.37286089763119434</v>
      </c>
      <c r="J403">
        <v>0.14000000000000001</v>
      </c>
      <c r="K403" t="s">
        <v>336</v>
      </c>
      <c r="L403">
        <f>IF(AND(B403&gt;=0.8,B403&lt;=1.5),1,IF(AND(B403&gt;=0.5,B403&lt;=2),0.5,0))</f>
        <v>0</v>
      </c>
      <c r="M403">
        <f>IF(AND(C403&gt;=0.5,C403&lt;=2),1,IF(AND(C403&gt;=0.1,C403&lt;=5),0.5,0))</f>
        <v>0</v>
      </c>
      <c r="N403">
        <f>IF(AND(G403&gt;=4,G403&lt;=7),1,IF(AND(G403&gt;=3,G403&lt;=8),0.5,0))</f>
        <v>0</v>
      </c>
      <c r="O403">
        <f>IF(AND(F403&gt;=270,F403&lt;=310),1,IF(AND(F403&gt;=250,F403&lt;=330),0.5,0))</f>
        <v>0</v>
      </c>
      <c r="P403">
        <f>IF(AND(E403&gt;=0.8,E403&lt;=1.5),1,IF(AND(E403&gt;=0.5,E403&lt;=2),0.5,0))</f>
        <v>0</v>
      </c>
      <c r="Q403">
        <f>IF(AND(H403&gt;=5000,H403&lt;=6000),1,IF(AND(H403&gt;=4000,H403&lt;5000),0.5,0))</f>
        <v>1</v>
      </c>
      <c r="R403">
        <f>0.35*AVERAGE(L403:M403:N403)+0.3*O403+0.2*P403+0.15*Q403</f>
        <v>0.15</v>
      </c>
      <c r="S403" t="str">
        <f>LEFT(K403,1)</f>
        <v>K</v>
      </c>
      <c r="T403">
        <f>IF(S403="G",1,0)</f>
        <v>0</v>
      </c>
      <c r="U403">
        <f>IF(S403="K",1,0)</f>
        <v>1</v>
      </c>
      <c r="V403">
        <f>IF(S403="M",1,0)</f>
        <v>0</v>
      </c>
      <c r="W403">
        <f>IF(S403="F",1,0)</f>
        <v>0</v>
      </c>
    </row>
    <row r="404" spans="1:23" x14ac:dyDescent="0.3">
      <c r="A404" t="s">
        <v>347</v>
      </c>
      <c r="B404">
        <v>11.54525012</v>
      </c>
      <c r="C404">
        <v>743.71847237999998</v>
      </c>
      <c r="D404">
        <v>64.594899999999996</v>
      </c>
      <c r="E404">
        <v>0.32700000000000001</v>
      </c>
      <c r="F404">
        <v>636</v>
      </c>
      <c r="G404">
        <f>IF(OR(C404="",B404="",B404=0),"",5.51*(C404/(B404^3)))</f>
        <v>2.662871007755387</v>
      </c>
      <c r="H404">
        <v>5802</v>
      </c>
      <c r="I404">
        <v>2.9383166129810467</v>
      </c>
      <c r="J404">
        <v>0.1</v>
      </c>
      <c r="L404">
        <f>IF(AND(B404&gt;=0.8,B404&lt;=1.5),1,IF(AND(B404&gt;=0.5,B404&lt;=2),0.5,0))</f>
        <v>0</v>
      </c>
      <c r="M404">
        <f>IF(AND(C404&gt;=0.5,C404&lt;=2),1,IF(AND(C404&gt;=0.1,C404&lt;=5),0.5,0))</f>
        <v>0</v>
      </c>
      <c r="N404">
        <f>IF(AND(G404&gt;=4,G404&lt;=7),1,IF(AND(G404&gt;=3,G404&lt;=8),0.5,0))</f>
        <v>0</v>
      </c>
      <c r="O404">
        <f>IF(AND(F404&gt;=270,F404&lt;=310),1,IF(AND(F404&gt;=250,F404&lt;=330),0.5,0))</f>
        <v>0</v>
      </c>
      <c r="P404">
        <f>IF(AND(E404&gt;=0.8,E404&lt;=1.5),1,IF(AND(E404&gt;=0.5,E404&lt;=2),0.5,0))</f>
        <v>0</v>
      </c>
      <c r="Q404">
        <f>IF(AND(H404&gt;=5000,H404&lt;=6000),1,IF(AND(H404&gt;=4000,H404&lt;5000),0.5,0))</f>
        <v>1</v>
      </c>
      <c r="R404">
        <f>0.35*AVERAGE(L404:M404:N404)+0.3*O404+0.2*P404+0.15*Q404</f>
        <v>0.15</v>
      </c>
      <c r="S404" t="str">
        <f>LEFT(K404,1)</f>
        <v/>
      </c>
      <c r="T404">
        <f>IF(S404="G",1,0)</f>
        <v>0</v>
      </c>
      <c r="U404">
        <f>IF(S404="K",1,0)</f>
        <v>0</v>
      </c>
      <c r="V404">
        <f>IF(S404="M",1,0)</f>
        <v>0</v>
      </c>
      <c r="W404">
        <f>IF(S404="F",1,0)</f>
        <v>0</v>
      </c>
    </row>
    <row r="405" spans="1:23" x14ac:dyDescent="0.3">
      <c r="A405" t="s">
        <v>346</v>
      </c>
      <c r="B405">
        <v>11.25381662</v>
      </c>
      <c r="C405">
        <v>415.40172795000001</v>
      </c>
      <c r="D405">
        <v>94.102199999999996</v>
      </c>
      <c r="E405">
        <v>0.3715</v>
      </c>
      <c r="F405">
        <v>338</v>
      </c>
      <c r="G405">
        <f>IF(OR(C405="",B405="",B405=0),"",5.51*(C405/(B405^3)))</f>
        <v>1.6059070154791304</v>
      </c>
      <c r="H405">
        <v>4870</v>
      </c>
      <c r="I405">
        <v>0.29999530014385684</v>
      </c>
      <c r="J405">
        <v>0.08</v>
      </c>
      <c r="L405">
        <f>IF(AND(B405&gt;=0.8,B405&lt;=1.5),1,IF(AND(B405&gt;=0.5,B405&lt;=2),0.5,0))</f>
        <v>0</v>
      </c>
      <c r="M405">
        <f>IF(AND(C405&gt;=0.5,C405&lt;=2),1,IF(AND(C405&gt;=0.1,C405&lt;=5),0.5,0))</f>
        <v>0</v>
      </c>
      <c r="N405">
        <f>IF(AND(G405&gt;=4,G405&lt;=7),1,IF(AND(G405&gt;=3,G405&lt;=8),0.5,0))</f>
        <v>0</v>
      </c>
      <c r="O405">
        <f>IF(AND(F405&gt;=270,F405&lt;=310),1,IF(AND(F405&gt;=250,F405&lt;=330),0.5,0))</f>
        <v>0</v>
      </c>
      <c r="P405">
        <f>IF(AND(E405&gt;=0.8,E405&lt;=1.5),1,IF(AND(E405&gt;=0.5,E405&lt;=2),0.5,0))</f>
        <v>0</v>
      </c>
      <c r="Q405">
        <f>IF(AND(H405&gt;=5000,H405&lt;=6000),1,IF(AND(H405&gt;=4000,H405&lt;5000),0.5,0))</f>
        <v>0.5</v>
      </c>
      <c r="R405">
        <f>0.35*AVERAGE(L405:M405:N405)+0.3*O405+0.2*P405+0.15*Q405</f>
        <v>7.4999999999999997E-2</v>
      </c>
      <c r="S405" t="str">
        <f>LEFT(K405,1)</f>
        <v/>
      </c>
      <c r="T405">
        <f>IF(S405="G",1,0)</f>
        <v>0</v>
      </c>
      <c r="U405">
        <f>IF(S405="K",1,0)</f>
        <v>0</v>
      </c>
      <c r="V405">
        <f>IF(S405="M",1,0)</f>
        <v>0</v>
      </c>
      <c r="W405">
        <f>IF(S405="F",1,0)</f>
        <v>0</v>
      </c>
    </row>
    <row r="406" spans="1:23" x14ac:dyDescent="0.3">
      <c r="A406" t="s">
        <v>345</v>
      </c>
      <c r="B406">
        <v>2.75</v>
      </c>
      <c r="D406">
        <v>7.9940369999999996</v>
      </c>
      <c r="G406" t="str">
        <f>IF(OR(C406="",B406="",B406=0),"",5.51*(C406/(B406^3)))</f>
        <v/>
      </c>
      <c r="H406">
        <v>5846.29</v>
      </c>
      <c r="I406">
        <v>1.646189257144492</v>
      </c>
      <c r="J406">
        <v>-0.27289999999999998</v>
      </c>
      <c r="L406">
        <f>IF(AND(B406&gt;=0.8,B406&lt;=1.5),1,IF(AND(B406&gt;=0.5,B406&lt;=2),0.5,0))</f>
        <v>0</v>
      </c>
      <c r="M406">
        <f>IF(AND(C406&gt;=0.5,C406&lt;=2),1,IF(AND(C406&gt;=0.1,C406&lt;=5),0.5,0))</f>
        <v>0</v>
      </c>
      <c r="N406">
        <f>IF(AND(G406&gt;=4,G406&lt;=7),1,IF(AND(G406&gt;=3,G406&lt;=8),0.5,0))</f>
        <v>0</v>
      </c>
      <c r="O406">
        <f>IF(AND(F406&gt;=270,F406&lt;=310),1,IF(AND(F406&gt;=250,F406&lt;=330),0.5,0))</f>
        <v>0</v>
      </c>
      <c r="P406">
        <f>IF(AND(E406&gt;=0.8,E406&lt;=1.5),1,IF(AND(E406&gt;=0.5,E406&lt;=2),0.5,0))</f>
        <v>0</v>
      </c>
      <c r="Q406">
        <f>IF(AND(H406&gt;=5000,H406&lt;=6000),1,IF(AND(H406&gt;=4000,H406&lt;5000),0.5,0))</f>
        <v>1</v>
      </c>
      <c r="R406">
        <f>0.35*AVERAGE(L406:M406:N406)+0.3*O406+0.2*P406+0.15*Q406</f>
        <v>0.15</v>
      </c>
      <c r="S406" t="str">
        <f>LEFT(K406,1)</f>
        <v/>
      </c>
      <c r="T406">
        <f>IF(S406="G",1,0)</f>
        <v>0</v>
      </c>
      <c r="U406">
        <f>IF(S406="K",1,0)</f>
        <v>0</v>
      </c>
      <c r="V406">
        <f>IF(S406="M",1,0)</f>
        <v>0</v>
      </c>
      <c r="W406">
        <f>IF(S406="F",1,0)</f>
        <v>0</v>
      </c>
    </row>
    <row r="407" spans="1:23" x14ac:dyDescent="0.3">
      <c r="A407" t="s">
        <v>344</v>
      </c>
      <c r="B407">
        <v>10.928756180000001</v>
      </c>
      <c r="C407">
        <v>63.88350981</v>
      </c>
      <c r="D407">
        <v>5.9839440000000002</v>
      </c>
      <c r="E407">
        <v>6.7199999999999996E-2</v>
      </c>
      <c r="F407">
        <v>1352</v>
      </c>
      <c r="G407">
        <f>IF(OR(C407="",B407="",B407=0),"",5.51*(C407/(B407^3)))</f>
        <v>0.2696672190561083</v>
      </c>
      <c r="H407">
        <v>5611</v>
      </c>
      <c r="I407">
        <v>2.5279359457758876</v>
      </c>
      <c r="J407">
        <v>0.24099999999999999</v>
      </c>
      <c r="L407">
        <f>IF(AND(B407&gt;=0.8,B407&lt;=1.5),1,IF(AND(B407&gt;=0.5,B407&lt;=2),0.5,0))</f>
        <v>0</v>
      </c>
      <c r="M407">
        <f>IF(AND(C407&gt;=0.5,C407&lt;=2),1,IF(AND(C407&gt;=0.1,C407&lt;=5),0.5,0))</f>
        <v>0</v>
      </c>
      <c r="N407">
        <f>IF(AND(G407&gt;=4,G407&lt;=7),1,IF(AND(G407&gt;=3,G407&lt;=8),0.5,0))</f>
        <v>0</v>
      </c>
      <c r="O407">
        <f>IF(AND(F407&gt;=270,F407&lt;=310),1,IF(AND(F407&gt;=250,F407&lt;=330),0.5,0))</f>
        <v>0</v>
      </c>
      <c r="P407">
        <f>IF(AND(E407&gt;=0.8,E407&lt;=1.5),1,IF(AND(E407&gt;=0.5,E407&lt;=2),0.5,0))</f>
        <v>0</v>
      </c>
      <c r="Q407">
        <f>IF(AND(H407&gt;=5000,H407&lt;=6000),1,IF(AND(H407&gt;=4000,H407&lt;5000),0.5,0))</f>
        <v>1</v>
      </c>
      <c r="R407">
        <f>0.35*AVERAGE(L407:M407:N407)+0.3*O407+0.2*P407+0.15*Q407</f>
        <v>0.15</v>
      </c>
      <c r="S407" t="str">
        <f>LEFT(K407,1)</f>
        <v/>
      </c>
      <c r="T407">
        <f>IF(S407="G",1,0)</f>
        <v>0</v>
      </c>
      <c r="U407">
        <f>IF(S407="K",1,0)</f>
        <v>0</v>
      </c>
      <c r="V407">
        <f>IF(S407="M",1,0)</f>
        <v>0</v>
      </c>
      <c r="W407">
        <f>IF(S407="F",1,0)</f>
        <v>0</v>
      </c>
    </row>
    <row r="408" spans="1:23" x14ac:dyDescent="0.3">
      <c r="A408" t="s">
        <v>343</v>
      </c>
      <c r="B408">
        <v>7.16253867</v>
      </c>
      <c r="C408">
        <v>43.860320170000001</v>
      </c>
      <c r="D408">
        <v>18.388179999999998</v>
      </c>
      <c r="E408">
        <v>0.15279999999999999</v>
      </c>
      <c r="F408">
        <v>1027</v>
      </c>
      <c r="G408">
        <f>IF(OR(C408="",B408="",B408=0),"",5.51*(C408/(B408^3)))</f>
        <v>0.65769184567737049</v>
      </c>
      <c r="H408">
        <v>6095</v>
      </c>
      <c r="I408">
        <v>4.3159194006612731</v>
      </c>
      <c r="J408">
        <v>0.17499999999999999</v>
      </c>
      <c r="L408">
        <f>IF(AND(B408&gt;=0.8,B408&lt;=1.5),1,IF(AND(B408&gt;=0.5,B408&lt;=2),0.5,0))</f>
        <v>0</v>
      </c>
      <c r="M408">
        <f>IF(AND(C408&gt;=0.5,C408&lt;=2),1,IF(AND(C408&gt;=0.1,C408&lt;=5),0.5,0))</f>
        <v>0</v>
      </c>
      <c r="N408">
        <f>IF(AND(G408&gt;=4,G408&lt;=7),1,IF(AND(G408&gt;=3,G408&lt;=8),0.5,0))</f>
        <v>0</v>
      </c>
      <c r="O408">
        <f>IF(AND(F408&gt;=270,F408&lt;=310),1,IF(AND(F408&gt;=250,F408&lt;=330),0.5,0))</f>
        <v>0</v>
      </c>
      <c r="P408">
        <f>IF(AND(E408&gt;=0.8,E408&lt;=1.5),1,IF(AND(E408&gt;=0.5,E408&lt;=2),0.5,0))</f>
        <v>0</v>
      </c>
      <c r="Q408">
        <f>IF(AND(H408&gt;=5000,H408&lt;=6000),1,IF(AND(H408&gt;=4000,H408&lt;5000),0.5,0))</f>
        <v>0</v>
      </c>
      <c r="R408">
        <f>0.35*AVERAGE(L408:M408:N408)+0.3*O408+0.2*P408+0.15*Q408</f>
        <v>0</v>
      </c>
      <c r="S408" t="str">
        <f>LEFT(K408,1)</f>
        <v/>
      </c>
      <c r="T408">
        <f>IF(S408="G",1,0)</f>
        <v>0</v>
      </c>
      <c r="U408">
        <f>IF(S408="K",1,0)</f>
        <v>0</v>
      </c>
      <c r="V408">
        <f>IF(S408="M",1,0)</f>
        <v>0</v>
      </c>
      <c r="W408">
        <f>IF(S408="F",1,0)</f>
        <v>0</v>
      </c>
    </row>
    <row r="409" spans="1:23" x14ac:dyDescent="0.3">
      <c r="A409" t="s">
        <v>342</v>
      </c>
      <c r="B409">
        <v>13.64132951</v>
      </c>
      <c r="C409">
        <v>260.61929373999999</v>
      </c>
      <c r="D409">
        <v>2.9887614999999998</v>
      </c>
      <c r="E409">
        <v>4.1450000000000001E-2</v>
      </c>
      <c r="F409">
        <v>1431</v>
      </c>
      <c r="G409">
        <f>IF(OR(C409="",B409="",B409=0),"",5.51*(C409/(B409^3)))</f>
        <v>0.56570245535247377</v>
      </c>
      <c r="H409">
        <v>5771</v>
      </c>
      <c r="I409">
        <v>1.1932251142816355</v>
      </c>
      <c r="J409">
        <v>0.191</v>
      </c>
      <c r="L409">
        <f>IF(AND(B409&gt;=0.8,B409&lt;=1.5),1,IF(AND(B409&gt;=0.5,B409&lt;=2),0.5,0))</f>
        <v>0</v>
      </c>
      <c r="M409">
        <f>IF(AND(C409&gt;=0.5,C409&lt;=2),1,IF(AND(C409&gt;=0.1,C409&lt;=5),0.5,0))</f>
        <v>0</v>
      </c>
      <c r="N409">
        <f>IF(AND(G409&gt;=4,G409&lt;=7),1,IF(AND(G409&gt;=3,G409&lt;=8),0.5,0))</f>
        <v>0</v>
      </c>
      <c r="O409">
        <f>IF(AND(F409&gt;=270,F409&lt;=310),1,IF(AND(F409&gt;=250,F409&lt;=330),0.5,0))</f>
        <v>0</v>
      </c>
      <c r="P409">
        <f>IF(AND(E409&gt;=0.8,E409&lt;=1.5),1,IF(AND(E409&gt;=0.5,E409&lt;=2),0.5,0))</f>
        <v>0</v>
      </c>
      <c r="Q409">
        <f>IF(AND(H409&gt;=5000,H409&lt;=6000),1,IF(AND(H409&gt;=4000,H409&lt;5000),0.5,0))</f>
        <v>1</v>
      </c>
      <c r="R409">
        <f>0.35*AVERAGE(L409:M409:N409)+0.3*O409+0.2*P409+0.15*Q409</f>
        <v>0.15</v>
      </c>
      <c r="S409" t="str">
        <f>LEFT(K409,1)</f>
        <v/>
      </c>
      <c r="T409">
        <f>IF(S409="G",1,0)</f>
        <v>0</v>
      </c>
      <c r="U409">
        <f>IF(S409="K",1,0)</f>
        <v>0</v>
      </c>
      <c r="V409">
        <f>IF(S409="M",1,0)</f>
        <v>0</v>
      </c>
      <c r="W409">
        <f>IF(S409="F",1,0)</f>
        <v>0</v>
      </c>
    </row>
    <row r="410" spans="1:23" x14ac:dyDescent="0.3">
      <c r="A410" t="s">
        <v>341</v>
      </c>
      <c r="B410">
        <v>17.373920089999999</v>
      </c>
      <c r="C410">
        <v>200.23189640999999</v>
      </c>
      <c r="D410">
        <v>3.3977499999999998</v>
      </c>
      <c r="E410">
        <v>4.8000000000000001E-2</v>
      </c>
      <c r="F410">
        <v>2410</v>
      </c>
      <c r="G410">
        <f>IF(OR(C410="",B410="",B410=0),"",5.51*(C410/(B410^3)))</f>
        <v>0.2103736782762218</v>
      </c>
      <c r="H410">
        <v>6120</v>
      </c>
      <c r="I410">
        <v>4.1233736215478674</v>
      </c>
      <c r="J410">
        <v>0.26</v>
      </c>
      <c r="K410" t="s">
        <v>18</v>
      </c>
      <c r="L410">
        <f>IF(AND(B410&gt;=0.8,B410&lt;=1.5),1,IF(AND(B410&gt;=0.5,B410&lt;=2),0.5,0))</f>
        <v>0</v>
      </c>
      <c r="M410">
        <f>IF(AND(C410&gt;=0.5,C410&lt;=2),1,IF(AND(C410&gt;=0.1,C410&lt;=5),0.5,0))</f>
        <v>0</v>
      </c>
      <c r="N410">
        <f>IF(AND(G410&gt;=4,G410&lt;=7),1,IF(AND(G410&gt;=3,G410&lt;=8),0.5,0))</f>
        <v>0</v>
      </c>
      <c r="O410">
        <f>IF(AND(F410&gt;=270,F410&lt;=310),1,IF(AND(F410&gt;=250,F410&lt;=330),0.5,0))</f>
        <v>0</v>
      </c>
      <c r="P410">
        <f>IF(AND(E410&gt;=0.8,E410&lt;=1.5),1,IF(AND(E410&gt;=0.5,E410&lt;=2),0.5,0))</f>
        <v>0</v>
      </c>
      <c r="Q410">
        <f>IF(AND(H410&gt;=5000,H410&lt;=6000),1,IF(AND(H410&gt;=4000,H410&lt;5000),0.5,0))</f>
        <v>0</v>
      </c>
      <c r="R410">
        <f>0.35*AVERAGE(L410:M410:N410)+0.3*O410+0.2*P410+0.15*Q410</f>
        <v>0</v>
      </c>
      <c r="S410" t="str">
        <f>LEFT(K410,1)</f>
        <v>F</v>
      </c>
      <c r="T410">
        <f>IF(S410="G",1,0)</f>
        <v>0</v>
      </c>
      <c r="U410">
        <f>IF(S410="K",1,0)</f>
        <v>0</v>
      </c>
      <c r="V410">
        <f>IF(S410="M",1,0)</f>
        <v>0</v>
      </c>
      <c r="W410">
        <f>IF(S410="F",1,0)</f>
        <v>1</v>
      </c>
    </row>
    <row r="411" spans="1:23" x14ac:dyDescent="0.3">
      <c r="A411" t="s">
        <v>340</v>
      </c>
      <c r="B411">
        <v>14.4595851</v>
      </c>
      <c r="C411">
        <v>79.457101750000007</v>
      </c>
      <c r="D411">
        <v>4.5207265000000003</v>
      </c>
      <c r="E411">
        <v>5.7099999999999998E-2</v>
      </c>
      <c r="F411">
        <v>1456</v>
      </c>
      <c r="G411">
        <f>IF(OR(C411="",B411="",B411=0),"",5.51*(C411/(B411^3)))</f>
        <v>0.14481609215194707</v>
      </c>
      <c r="H411">
        <v>5936</v>
      </c>
      <c r="I411">
        <v>2.4301126696352631</v>
      </c>
      <c r="J411">
        <v>0.158</v>
      </c>
      <c r="L411">
        <f>IF(AND(B411&gt;=0.8,B411&lt;=1.5),1,IF(AND(B411&gt;=0.5,B411&lt;=2),0.5,0))</f>
        <v>0</v>
      </c>
      <c r="M411">
        <f>IF(AND(C411&gt;=0.5,C411&lt;=2),1,IF(AND(C411&gt;=0.1,C411&lt;=5),0.5,0))</f>
        <v>0</v>
      </c>
      <c r="N411">
        <f>IF(AND(G411&gt;=4,G411&lt;=7),1,IF(AND(G411&gt;=3,G411&lt;=8),0.5,0))</f>
        <v>0</v>
      </c>
      <c r="O411">
        <f>IF(AND(F411&gt;=270,F411&lt;=310),1,IF(AND(F411&gt;=250,F411&lt;=330),0.5,0))</f>
        <v>0</v>
      </c>
      <c r="P411">
        <f>IF(AND(E411&gt;=0.8,E411&lt;=1.5),1,IF(AND(E411&gt;=0.5,E411&lt;=2),0.5,0))</f>
        <v>0</v>
      </c>
      <c r="Q411">
        <f>IF(AND(H411&gt;=5000,H411&lt;=6000),1,IF(AND(H411&gt;=4000,H411&lt;5000),0.5,0))</f>
        <v>1</v>
      </c>
      <c r="R411">
        <f>0.35*AVERAGE(L411:M411:N411)+0.3*O411+0.2*P411+0.15*Q411</f>
        <v>0.15</v>
      </c>
      <c r="S411" t="str">
        <f>LEFT(K411,1)</f>
        <v/>
      </c>
      <c r="T411">
        <f>IF(S411="G",1,0)</f>
        <v>0</v>
      </c>
      <c r="U411">
        <f>IF(S411="K",1,0)</f>
        <v>0</v>
      </c>
      <c r="V411">
        <f>IF(S411="M",1,0)</f>
        <v>0</v>
      </c>
      <c r="W411">
        <f>IF(S411="F",1,0)</f>
        <v>0</v>
      </c>
    </row>
    <row r="412" spans="1:23" x14ac:dyDescent="0.3">
      <c r="A412" t="s">
        <v>339</v>
      </c>
      <c r="B412">
        <v>12.07207221</v>
      </c>
      <c r="C412">
        <v>69.286592729999995</v>
      </c>
      <c r="D412">
        <v>5.4566400000000002</v>
      </c>
      <c r="E412">
        <v>6.3500000000000001E-2</v>
      </c>
      <c r="F412">
        <v>1445</v>
      </c>
      <c r="G412">
        <f>IF(OR(C412="",B412="",B412=0),"",5.51*(C412/(B412^3)))</f>
        <v>0.21699779959027987</v>
      </c>
      <c r="H412">
        <v>5760</v>
      </c>
      <c r="I412">
        <v>2.9421266670011859</v>
      </c>
      <c r="J412">
        <v>0.13</v>
      </c>
      <c r="L412">
        <f>IF(AND(B412&gt;=0.8,B412&lt;=1.5),1,IF(AND(B412&gt;=0.5,B412&lt;=2),0.5,0))</f>
        <v>0</v>
      </c>
      <c r="M412">
        <f>IF(AND(C412&gt;=0.5,C412&lt;=2),1,IF(AND(C412&gt;=0.1,C412&lt;=5),0.5,0))</f>
        <v>0</v>
      </c>
      <c r="N412">
        <f>IF(AND(G412&gt;=4,G412&lt;=7),1,IF(AND(G412&gt;=3,G412&lt;=8),0.5,0))</f>
        <v>0</v>
      </c>
      <c r="O412">
        <f>IF(AND(F412&gt;=270,F412&lt;=310),1,IF(AND(F412&gt;=250,F412&lt;=330),0.5,0))</f>
        <v>0</v>
      </c>
      <c r="P412">
        <f>IF(AND(E412&gt;=0.8,E412&lt;=1.5),1,IF(AND(E412&gt;=0.5,E412&lt;=2),0.5,0))</f>
        <v>0</v>
      </c>
      <c r="Q412">
        <f>IF(AND(H412&gt;=5000,H412&lt;=6000),1,IF(AND(H412&gt;=4000,H412&lt;5000),0.5,0))</f>
        <v>1</v>
      </c>
      <c r="R412">
        <f>0.35*AVERAGE(L412:M412:N412)+0.3*O412+0.2*P412+0.15*Q412</f>
        <v>0.15</v>
      </c>
      <c r="S412" t="str">
        <f>LEFT(K412,1)</f>
        <v/>
      </c>
      <c r="T412">
        <f>IF(S412="G",1,0)</f>
        <v>0</v>
      </c>
      <c r="U412">
        <f>IF(S412="K",1,0)</f>
        <v>0</v>
      </c>
      <c r="V412">
        <f>IF(S412="M",1,0)</f>
        <v>0</v>
      </c>
      <c r="W412">
        <f>IF(S412="F",1,0)</f>
        <v>0</v>
      </c>
    </row>
    <row r="413" spans="1:23" x14ac:dyDescent="0.3">
      <c r="A413" t="s">
        <v>338</v>
      </c>
      <c r="B413">
        <v>12.10569916</v>
      </c>
      <c r="C413">
        <v>1112.3994244999999</v>
      </c>
      <c r="D413">
        <v>61.627699999999997</v>
      </c>
      <c r="E413">
        <v>0.3</v>
      </c>
      <c r="F413">
        <v>592</v>
      </c>
      <c r="G413">
        <f>IF(OR(C413="",B413="",B413=0),"",5.51*(C413/(B413^3)))</f>
        <v>3.4549576106402062</v>
      </c>
      <c r="H413">
        <v>5579</v>
      </c>
      <c r="I413">
        <v>0.99513694734186675</v>
      </c>
      <c r="J413">
        <v>0.12</v>
      </c>
      <c r="L413">
        <f>IF(AND(B413&gt;=0.8,B413&lt;=1.5),1,IF(AND(B413&gt;=0.5,B413&lt;=2),0.5,0))</f>
        <v>0</v>
      </c>
      <c r="M413">
        <f>IF(AND(C413&gt;=0.5,C413&lt;=2),1,IF(AND(C413&gt;=0.1,C413&lt;=5),0.5,0))</f>
        <v>0</v>
      </c>
      <c r="N413">
        <f>IF(AND(G413&gt;=4,G413&lt;=7),1,IF(AND(G413&gt;=3,G413&lt;=8),0.5,0))</f>
        <v>0.5</v>
      </c>
      <c r="O413">
        <f>IF(AND(F413&gt;=270,F413&lt;=310),1,IF(AND(F413&gt;=250,F413&lt;=330),0.5,0))</f>
        <v>0</v>
      </c>
      <c r="P413">
        <f>IF(AND(E413&gt;=0.8,E413&lt;=1.5),1,IF(AND(E413&gt;=0.5,E413&lt;=2),0.5,0))</f>
        <v>0</v>
      </c>
      <c r="Q413">
        <f>IF(AND(H413&gt;=5000,H413&lt;=6000),1,IF(AND(H413&gt;=4000,H413&lt;5000),0.5,0))</f>
        <v>1</v>
      </c>
      <c r="R413">
        <f>0.35*AVERAGE(L413:M413:N413)+0.3*O413+0.2*P413+0.15*Q413</f>
        <v>0.20833333333333331</v>
      </c>
      <c r="S413" t="str">
        <f>LEFT(K413,1)</f>
        <v/>
      </c>
      <c r="T413">
        <f>IF(S413="G",1,0)</f>
        <v>0</v>
      </c>
      <c r="U413">
        <f>IF(S413="K",1,0)</f>
        <v>0</v>
      </c>
      <c r="V413">
        <f>IF(S413="M",1,0)</f>
        <v>0</v>
      </c>
      <c r="W413">
        <f>IF(S413="F",1,0)</f>
        <v>0</v>
      </c>
    </row>
    <row r="414" spans="1:23" x14ac:dyDescent="0.3">
      <c r="A414" t="s">
        <v>337</v>
      </c>
      <c r="B414">
        <v>1.71</v>
      </c>
      <c r="C414">
        <v>4.2300000000000004</v>
      </c>
      <c r="D414">
        <v>13.475853000000001</v>
      </c>
      <c r="E414">
        <v>9.4299999999999995E-2</v>
      </c>
      <c r="F414">
        <v>493</v>
      </c>
      <c r="G414">
        <f>IF(OR(C414="",B414="",B414=0),"",5.51*(C414/(B414^3)))</f>
        <v>4.6612632946889647</v>
      </c>
      <c r="H414">
        <v>4026</v>
      </c>
      <c r="I414">
        <v>8.6848498475833688E-2</v>
      </c>
      <c r="J414">
        <v>-0.47</v>
      </c>
      <c r="K414" t="s">
        <v>336</v>
      </c>
      <c r="L414">
        <f>IF(AND(B414&gt;=0.8,B414&lt;=1.5),1,IF(AND(B414&gt;=0.5,B414&lt;=2),0.5,0))</f>
        <v>0.5</v>
      </c>
      <c r="M414">
        <f>IF(AND(C414&gt;=0.5,C414&lt;=2),1,IF(AND(C414&gt;=0.1,C414&lt;=5),0.5,0))</f>
        <v>0.5</v>
      </c>
      <c r="N414">
        <f>IF(AND(G414&gt;=4,G414&lt;=7),1,IF(AND(G414&gt;=3,G414&lt;=8),0.5,0))</f>
        <v>1</v>
      </c>
      <c r="O414">
        <f>IF(AND(F414&gt;=270,F414&lt;=310),1,IF(AND(F414&gt;=250,F414&lt;=330),0.5,0))</f>
        <v>0</v>
      </c>
      <c r="P414">
        <f>IF(AND(E414&gt;=0.8,E414&lt;=1.5),1,IF(AND(E414&gt;=0.5,E414&lt;=2),0.5,0))</f>
        <v>0</v>
      </c>
      <c r="Q414">
        <f>IF(AND(H414&gt;=5000,H414&lt;=6000),1,IF(AND(H414&gt;=4000,H414&lt;5000),0.5,0))</f>
        <v>0.5</v>
      </c>
      <c r="R414">
        <f>0.35*AVERAGE(L414:M414:N414)+0.3*O414+0.2*P414+0.15*Q414</f>
        <v>0.30833333333333329</v>
      </c>
      <c r="S414" t="str">
        <f>LEFT(K414,1)</f>
        <v>K</v>
      </c>
      <c r="T414">
        <f>IF(S414="G",1,0)</f>
        <v>0</v>
      </c>
      <c r="U414">
        <f>IF(S414="K",1,0)</f>
        <v>1</v>
      </c>
      <c r="V414">
        <f>IF(S414="M",1,0)</f>
        <v>0</v>
      </c>
      <c r="W414">
        <f>IF(S414="F",1,0)</f>
        <v>0</v>
      </c>
    </row>
    <row r="415" spans="1:23" x14ac:dyDescent="0.3">
      <c r="A415" t="s">
        <v>335</v>
      </c>
      <c r="B415">
        <v>3.0449863000000001</v>
      </c>
      <c r="D415">
        <v>3.3639253999999998</v>
      </c>
      <c r="E415">
        <v>3.4792189000000001E-2</v>
      </c>
      <c r="F415">
        <v>1722.49</v>
      </c>
      <c r="G415" t="str">
        <f>IF(OR(C415="",B415="",B415=0),"",5.51*(C415/(B415^3)))</f>
        <v/>
      </c>
      <c r="H415">
        <v>5890.3</v>
      </c>
      <c r="I415">
        <v>1.7700338992541198</v>
      </c>
      <c r="L415">
        <f>IF(AND(B415&gt;=0.8,B415&lt;=1.5),1,IF(AND(B415&gt;=0.5,B415&lt;=2),0.5,0))</f>
        <v>0</v>
      </c>
      <c r="M415">
        <f>IF(AND(C415&gt;=0.5,C415&lt;=2),1,IF(AND(C415&gt;=0.1,C415&lt;=5),0.5,0))</f>
        <v>0</v>
      </c>
      <c r="N415">
        <f>IF(AND(G415&gt;=4,G415&lt;=7),1,IF(AND(G415&gt;=3,G415&lt;=8),0.5,0))</f>
        <v>0</v>
      </c>
      <c r="O415">
        <f>IF(AND(F415&gt;=270,F415&lt;=310),1,IF(AND(F415&gt;=250,F415&lt;=330),0.5,0))</f>
        <v>0</v>
      </c>
      <c r="P415">
        <f>IF(AND(E415&gt;=0.8,E415&lt;=1.5),1,IF(AND(E415&gt;=0.5,E415&lt;=2),0.5,0))</f>
        <v>0</v>
      </c>
      <c r="Q415">
        <f>IF(AND(H415&gt;=5000,H415&lt;=6000),1,IF(AND(H415&gt;=4000,H415&lt;5000),0.5,0))</f>
        <v>1</v>
      </c>
      <c r="R415">
        <f>0.35*AVERAGE(L415:M415:N415)+0.3*O415+0.2*P415+0.15*Q415</f>
        <v>0.15</v>
      </c>
      <c r="S415" t="str">
        <f>LEFT(K415,1)</f>
        <v/>
      </c>
      <c r="T415">
        <f>IF(S415="G",1,0)</f>
        <v>0</v>
      </c>
      <c r="U415">
        <f>IF(S415="K",1,0)</f>
        <v>0</v>
      </c>
      <c r="V415">
        <f>IF(S415="M",1,0)</f>
        <v>0</v>
      </c>
      <c r="W415">
        <f>IF(S415="F",1,0)</f>
        <v>0</v>
      </c>
    </row>
    <row r="416" spans="1:23" x14ac:dyDescent="0.3">
      <c r="A416" t="s">
        <v>334</v>
      </c>
      <c r="B416">
        <v>2.0699999999999998</v>
      </c>
      <c r="D416">
        <v>11.145289999999999</v>
      </c>
      <c r="E416">
        <v>0.16300000000000001</v>
      </c>
      <c r="F416">
        <v>584</v>
      </c>
      <c r="G416" t="str">
        <f>IF(OR(C416="",B416="",B416=0),"",5.51*(C416/(B416^3)))</f>
        <v/>
      </c>
      <c r="H416">
        <v>5310</v>
      </c>
      <c r="I416">
        <v>0.51899837328763987</v>
      </c>
      <c r="J416">
        <v>0.26</v>
      </c>
      <c r="K416" t="s">
        <v>49</v>
      </c>
      <c r="L416">
        <f>IF(AND(B416&gt;=0.8,B416&lt;=1.5),1,IF(AND(B416&gt;=0.5,B416&lt;=2),0.5,0))</f>
        <v>0</v>
      </c>
      <c r="M416">
        <f>IF(AND(C416&gt;=0.5,C416&lt;=2),1,IF(AND(C416&gt;=0.1,C416&lt;=5),0.5,0))</f>
        <v>0</v>
      </c>
      <c r="N416">
        <f>IF(AND(G416&gt;=4,G416&lt;=7),1,IF(AND(G416&gt;=3,G416&lt;=8),0.5,0))</f>
        <v>0</v>
      </c>
      <c r="O416">
        <f>IF(AND(F416&gt;=270,F416&lt;=310),1,IF(AND(F416&gt;=250,F416&lt;=330),0.5,0))</f>
        <v>0</v>
      </c>
      <c r="P416">
        <f>IF(AND(E416&gt;=0.8,E416&lt;=1.5),1,IF(AND(E416&gt;=0.5,E416&lt;=2),0.5,0))</f>
        <v>0</v>
      </c>
      <c r="Q416">
        <f>IF(AND(H416&gt;=5000,H416&lt;=6000),1,IF(AND(H416&gt;=4000,H416&lt;5000),0.5,0))</f>
        <v>1</v>
      </c>
      <c r="R416">
        <f>0.35*AVERAGE(L416:M416:N416)+0.3*O416+0.2*P416+0.15*Q416</f>
        <v>0.15</v>
      </c>
      <c r="S416" t="str">
        <f>LEFT(K416,1)</f>
        <v>K</v>
      </c>
      <c r="T416">
        <f>IF(S416="G",1,0)</f>
        <v>0</v>
      </c>
      <c r="U416">
        <f>IF(S416="K",1,0)</f>
        <v>1</v>
      </c>
      <c r="V416">
        <f>IF(S416="M",1,0)</f>
        <v>0</v>
      </c>
      <c r="W416">
        <f>IF(S416="F",1,0)</f>
        <v>0</v>
      </c>
    </row>
    <row r="417" spans="1:23" x14ac:dyDescent="0.3">
      <c r="A417" t="s">
        <v>333</v>
      </c>
      <c r="B417">
        <v>18.10250383</v>
      </c>
      <c r="C417">
        <v>122.68176510000001</v>
      </c>
      <c r="D417">
        <v>4.8809740000000001</v>
      </c>
      <c r="E417">
        <v>6.0699999999999997E-2</v>
      </c>
      <c r="F417">
        <v>1387</v>
      </c>
      <c r="G417">
        <f>IF(OR(C417="",B417="",B417=0),"",5.51*(C417/(B417^3)))</f>
        <v>0.11395035186386322</v>
      </c>
      <c r="H417">
        <v>6100</v>
      </c>
      <c r="I417">
        <v>2.2172879984372105</v>
      </c>
      <c r="J417">
        <v>-0.15</v>
      </c>
      <c r="K417" t="s">
        <v>332</v>
      </c>
      <c r="L417">
        <f>IF(AND(B417&gt;=0.8,B417&lt;=1.5),1,IF(AND(B417&gt;=0.5,B417&lt;=2),0.5,0))</f>
        <v>0</v>
      </c>
      <c r="M417">
        <f>IF(AND(C417&gt;=0.5,C417&lt;=2),1,IF(AND(C417&gt;=0.1,C417&lt;=5),0.5,0))</f>
        <v>0</v>
      </c>
      <c r="N417">
        <f>IF(AND(G417&gt;=4,G417&lt;=7),1,IF(AND(G417&gt;=3,G417&lt;=8),0.5,0))</f>
        <v>0</v>
      </c>
      <c r="O417">
        <f>IF(AND(F417&gt;=270,F417&lt;=310),1,IF(AND(F417&gt;=250,F417&lt;=330),0.5,0))</f>
        <v>0</v>
      </c>
      <c r="P417">
        <f>IF(AND(E417&gt;=0.8,E417&lt;=1.5),1,IF(AND(E417&gt;=0.5,E417&lt;=2),0.5,0))</f>
        <v>0</v>
      </c>
      <c r="Q417">
        <f>IF(AND(H417&gt;=5000,H417&lt;=6000),1,IF(AND(H417&gt;=4000,H417&lt;5000),0.5,0))</f>
        <v>0</v>
      </c>
      <c r="R417">
        <f>0.35*AVERAGE(L417:M417:N417)+0.3*O417+0.2*P417+0.15*Q417</f>
        <v>0</v>
      </c>
      <c r="S417" t="str">
        <f>LEFT(K417,1)</f>
        <v>F</v>
      </c>
      <c r="T417">
        <f>IF(S417="G",1,0)</f>
        <v>0</v>
      </c>
      <c r="U417">
        <f>IF(S417="K",1,0)</f>
        <v>0</v>
      </c>
      <c r="V417">
        <f>IF(S417="M",1,0)</f>
        <v>0</v>
      </c>
      <c r="W417">
        <f>IF(S417="F",1,0)</f>
        <v>1</v>
      </c>
    </row>
    <row r="418" spans="1:23" x14ac:dyDescent="0.3">
      <c r="A418" t="s">
        <v>331</v>
      </c>
      <c r="B418">
        <v>19.72780603</v>
      </c>
      <c r="C418">
        <v>193.87532827000001</v>
      </c>
      <c r="D418">
        <v>6.2034000000000002</v>
      </c>
      <c r="G418">
        <f>IF(OR(C418="",B418="",B418=0),"",5.51*(C418/(B418^3)))</f>
        <v>0.13913544378011183</v>
      </c>
      <c r="H418">
        <v>4800</v>
      </c>
      <c r="I418">
        <v>8.0061276993551918</v>
      </c>
      <c r="J418">
        <v>0.1</v>
      </c>
      <c r="L418">
        <f>IF(AND(B418&gt;=0.8,B418&lt;=1.5),1,IF(AND(B418&gt;=0.5,B418&lt;=2),0.5,0))</f>
        <v>0</v>
      </c>
      <c r="M418">
        <f>IF(AND(C418&gt;=0.5,C418&lt;=2),1,IF(AND(C418&gt;=0.1,C418&lt;=5),0.5,0))</f>
        <v>0</v>
      </c>
      <c r="N418">
        <f>IF(AND(G418&gt;=4,G418&lt;=7),1,IF(AND(G418&gt;=3,G418&lt;=8),0.5,0))</f>
        <v>0</v>
      </c>
      <c r="O418">
        <f>IF(AND(F418&gt;=270,F418&lt;=310),1,IF(AND(F418&gt;=250,F418&lt;=330),0.5,0))</f>
        <v>0</v>
      </c>
      <c r="P418">
        <f>IF(AND(E418&gt;=0.8,E418&lt;=1.5),1,IF(AND(E418&gt;=0.5,E418&lt;=2),0.5,0))</f>
        <v>0</v>
      </c>
      <c r="Q418">
        <f>IF(AND(H418&gt;=5000,H418&lt;=6000),1,IF(AND(H418&gt;=4000,H418&lt;5000),0.5,0))</f>
        <v>0.5</v>
      </c>
      <c r="R418">
        <f>0.35*AVERAGE(L418:M418:N418)+0.3*O418+0.2*P418+0.15*Q418</f>
        <v>7.4999999999999997E-2</v>
      </c>
      <c r="S418" t="str">
        <f>LEFT(K418,1)</f>
        <v/>
      </c>
      <c r="T418">
        <f>IF(S418="G",1,0)</f>
        <v>0</v>
      </c>
      <c r="U418">
        <f>IF(S418="K",1,0)</f>
        <v>0</v>
      </c>
      <c r="V418">
        <f>IF(S418="M",1,0)</f>
        <v>0</v>
      </c>
      <c r="W418">
        <f>IF(S418="F",1,0)</f>
        <v>0</v>
      </c>
    </row>
    <row r="419" spans="1:23" x14ac:dyDescent="0.3">
      <c r="A419" t="s">
        <v>330</v>
      </c>
      <c r="B419">
        <v>2.77</v>
      </c>
      <c r="C419">
        <v>8.8000000000000007</v>
      </c>
      <c r="D419">
        <v>3.6977104000000001</v>
      </c>
      <c r="E419">
        <v>3.4500000000000003E-2</v>
      </c>
      <c r="F419">
        <v>531</v>
      </c>
      <c r="G419">
        <f>IF(OR(C419="",B419="",B419=0),"",5.51*(C419/(B419^3)))</f>
        <v>2.281365994707897</v>
      </c>
      <c r="H419">
        <v>3514</v>
      </c>
      <c r="I419">
        <v>2.1670205149169036E-2</v>
      </c>
      <c r="J419">
        <v>-0.28999999999999998</v>
      </c>
      <c r="K419" t="s">
        <v>74</v>
      </c>
      <c r="L419">
        <f>IF(AND(B419&gt;=0.8,B419&lt;=1.5),1,IF(AND(B419&gt;=0.5,B419&lt;=2),0.5,0))</f>
        <v>0</v>
      </c>
      <c r="M419">
        <f>IF(AND(C419&gt;=0.5,C419&lt;=2),1,IF(AND(C419&gt;=0.1,C419&lt;=5),0.5,0))</f>
        <v>0</v>
      </c>
      <c r="N419">
        <f>IF(AND(G419&gt;=4,G419&lt;=7),1,IF(AND(G419&gt;=3,G419&lt;=8),0.5,0))</f>
        <v>0</v>
      </c>
      <c r="O419">
        <f>IF(AND(F419&gt;=270,F419&lt;=310),1,IF(AND(F419&gt;=250,F419&lt;=330),0.5,0))</f>
        <v>0</v>
      </c>
      <c r="P419">
        <f>IF(AND(E419&gt;=0.8,E419&lt;=1.5),1,IF(AND(E419&gt;=0.5,E419&lt;=2),0.5,0))</f>
        <v>0</v>
      </c>
      <c r="Q419">
        <f>IF(AND(H419&gt;=5000,H419&lt;=6000),1,IF(AND(H419&gt;=4000,H419&lt;5000),0.5,0))</f>
        <v>0</v>
      </c>
      <c r="R419">
        <f>0.35*AVERAGE(L419:M419:N419)+0.3*O419+0.2*P419+0.15*Q419</f>
        <v>0</v>
      </c>
      <c r="S419" t="str">
        <f>LEFT(K419,1)</f>
        <v>M</v>
      </c>
      <c r="T419">
        <f>IF(S419="G",1,0)</f>
        <v>0</v>
      </c>
      <c r="U419">
        <f>IF(S419="K",1,0)</f>
        <v>0</v>
      </c>
      <c r="V419">
        <f>IF(S419="M",1,0)</f>
        <v>1</v>
      </c>
      <c r="W419">
        <f>IF(S419="F",1,0)</f>
        <v>0</v>
      </c>
    </row>
    <row r="420" spans="1:23" x14ac:dyDescent="0.3">
      <c r="A420" t="s">
        <v>329</v>
      </c>
      <c r="B420">
        <v>1.28</v>
      </c>
      <c r="C420">
        <v>1.48</v>
      </c>
      <c r="D420">
        <v>3.3599199999999998</v>
      </c>
      <c r="F420">
        <v>600</v>
      </c>
      <c r="G420">
        <f>IF(OR(C420="",B420="",B420=0),"",5.51*(C420/(B420^3)))</f>
        <v>3.8885116577148429</v>
      </c>
      <c r="H420">
        <v>3506</v>
      </c>
      <c r="I420">
        <v>1.9575131591458645E-2</v>
      </c>
      <c r="L420">
        <f>IF(AND(B420&gt;=0.8,B420&lt;=1.5),1,IF(AND(B420&gt;=0.5,B420&lt;=2),0.5,0))</f>
        <v>1</v>
      </c>
      <c r="M420">
        <f>IF(AND(C420&gt;=0.5,C420&lt;=2),1,IF(AND(C420&gt;=0.1,C420&lt;=5),0.5,0))</f>
        <v>1</v>
      </c>
      <c r="N420">
        <f>IF(AND(G420&gt;=4,G420&lt;=7),1,IF(AND(G420&gt;=3,G420&lt;=8),0.5,0))</f>
        <v>0.5</v>
      </c>
      <c r="O420">
        <f>IF(AND(F420&gt;=270,F420&lt;=310),1,IF(AND(F420&gt;=250,F420&lt;=330),0.5,0))</f>
        <v>0</v>
      </c>
      <c r="P420">
        <f>IF(AND(E420&gt;=0.8,E420&lt;=1.5),1,IF(AND(E420&gt;=0.5,E420&lt;=2),0.5,0))</f>
        <v>0</v>
      </c>
      <c r="Q420">
        <f>IF(AND(H420&gt;=5000,H420&lt;=6000),1,IF(AND(H420&gt;=4000,H420&lt;5000),0.5,0))</f>
        <v>0</v>
      </c>
      <c r="R420">
        <f>0.35*AVERAGE(L420:M420:N420)+0.3*O420+0.2*P420+0.15*Q420</f>
        <v>0.29166666666666669</v>
      </c>
      <c r="S420" t="str">
        <f>LEFT(K420,1)</f>
        <v/>
      </c>
      <c r="T420">
        <f>IF(S420="G",1,0)</f>
        <v>0</v>
      </c>
      <c r="U420">
        <f>IF(S420="K",1,0)</f>
        <v>0</v>
      </c>
      <c r="V420">
        <f>IF(S420="M",1,0)</f>
        <v>0</v>
      </c>
      <c r="W420">
        <f>IF(S420="F",1,0)</f>
        <v>0</v>
      </c>
    </row>
    <row r="421" spans="1:23" x14ac:dyDescent="0.3">
      <c r="A421" t="s">
        <v>328</v>
      </c>
      <c r="B421">
        <v>2.33</v>
      </c>
      <c r="C421">
        <v>6.2</v>
      </c>
      <c r="D421">
        <v>5.6605100000000004</v>
      </c>
      <c r="F421">
        <v>489</v>
      </c>
      <c r="G421">
        <f>IF(OR(C421="",B421="",B421=0),"",5.51*(C421/(B421^3)))</f>
        <v>2.7006949059859817</v>
      </c>
      <c r="H421">
        <v>3506</v>
      </c>
      <c r="I421">
        <v>1.9575131591458645E-2</v>
      </c>
      <c r="L421">
        <f>IF(AND(B421&gt;=0.8,B421&lt;=1.5),1,IF(AND(B421&gt;=0.5,B421&lt;=2),0.5,0))</f>
        <v>0</v>
      </c>
      <c r="M421">
        <f>IF(AND(C421&gt;=0.5,C421&lt;=2),1,IF(AND(C421&gt;=0.1,C421&lt;=5),0.5,0))</f>
        <v>0</v>
      </c>
      <c r="N421">
        <f>IF(AND(G421&gt;=4,G421&lt;=7),1,IF(AND(G421&gt;=3,G421&lt;=8),0.5,0))</f>
        <v>0</v>
      </c>
      <c r="O421">
        <f>IF(AND(F421&gt;=270,F421&lt;=310),1,IF(AND(F421&gt;=250,F421&lt;=330),0.5,0))</f>
        <v>0</v>
      </c>
      <c r="P421">
        <f>IF(AND(E421&gt;=0.8,E421&lt;=1.5),1,IF(AND(E421&gt;=0.5,E421&lt;=2),0.5,0))</f>
        <v>0</v>
      </c>
      <c r="Q421">
        <f>IF(AND(H421&gt;=5000,H421&lt;=6000),1,IF(AND(H421&gt;=4000,H421&lt;5000),0.5,0))</f>
        <v>0</v>
      </c>
      <c r="R421">
        <f>0.35*AVERAGE(L421:M421:N421)+0.3*O421+0.2*P421+0.15*Q421</f>
        <v>0</v>
      </c>
      <c r="S421" t="str">
        <f>LEFT(K421,1)</f>
        <v/>
      </c>
      <c r="T421">
        <f>IF(S421="G",1,0)</f>
        <v>0</v>
      </c>
      <c r="U421">
        <f>IF(S421="K",1,0)</f>
        <v>0</v>
      </c>
      <c r="V421">
        <f>IF(S421="M",1,0)</f>
        <v>0</v>
      </c>
      <c r="W421">
        <f>IF(S421="F",1,0)</f>
        <v>0</v>
      </c>
    </row>
    <row r="422" spans="1:23" x14ac:dyDescent="0.3">
      <c r="A422" t="s">
        <v>327</v>
      </c>
      <c r="B422">
        <v>2</v>
      </c>
      <c r="C422">
        <v>4.2</v>
      </c>
      <c r="D422">
        <v>11.38194</v>
      </c>
      <c r="F422">
        <v>383</v>
      </c>
      <c r="G422">
        <f>IF(OR(C422="",B422="",B422=0),"",5.51*(C422/(B422^3)))</f>
        <v>2.8927499999999999</v>
      </c>
      <c r="H422">
        <v>3506</v>
      </c>
      <c r="I422">
        <v>1.9575131591458645E-2</v>
      </c>
      <c r="L422">
        <f>IF(AND(B422&gt;=0.8,B422&lt;=1.5),1,IF(AND(B422&gt;=0.5,B422&lt;=2),0.5,0))</f>
        <v>0.5</v>
      </c>
      <c r="M422">
        <f>IF(AND(C422&gt;=0.5,C422&lt;=2),1,IF(AND(C422&gt;=0.1,C422&lt;=5),0.5,0))</f>
        <v>0.5</v>
      </c>
      <c r="N422">
        <f>IF(AND(G422&gt;=4,G422&lt;=7),1,IF(AND(G422&gt;=3,G422&lt;=8),0.5,0))</f>
        <v>0</v>
      </c>
      <c r="O422">
        <f>IF(AND(F422&gt;=270,F422&lt;=310),1,IF(AND(F422&gt;=250,F422&lt;=330),0.5,0))</f>
        <v>0</v>
      </c>
      <c r="P422">
        <f>IF(AND(E422&gt;=0.8,E422&lt;=1.5),1,IF(AND(E422&gt;=0.5,E422&lt;=2),0.5,0))</f>
        <v>0</v>
      </c>
      <c r="Q422">
        <f>IF(AND(H422&gt;=5000,H422&lt;=6000),1,IF(AND(H422&gt;=4000,H422&lt;5000),0.5,0))</f>
        <v>0</v>
      </c>
      <c r="R422">
        <f>0.35*AVERAGE(L422:M422:N422)+0.3*O422+0.2*P422+0.15*Q422</f>
        <v>0.11666666666666665</v>
      </c>
      <c r="S422" t="str">
        <f>LEFT(K422,1)</f>
        <v/>
      </c>
      <c r="T422">
        <f>IF(S422="G",1,0)</f>
        <v>0</v>
      </c>
      <c r="U422">
        <f>IF(S422="K",1,0)</f>
        <v>0</v>
      </c>
      <c r="V422">
        <f>IF(S422="M",1,0)</f>
        <v>0</v>
      </c>
      <c r="W422">
        <f>IF(S422="F",1,0)</f>
        <v>0</v>
      </c>
    </row>
    <row r="423" spans="1:23" x14ac:dyDescent="0.3">
      <c r="A423" t="s">
        <v>326</v>
      </c>
      <c r="B423">
        <v>13.72</v>
      </c>
      <c r="C423">
        <v>228</v>
      </c>
      <c r="D423">
        <v>2.499387</v>
      </c>
      <c r="E423">
        <v>3.5999999999999997E-2</v>
      </c>
      <c r="F423">
        <v>1603</v>
      </c>
      <c r="G423">
        <f>IF(OR(C423="",B423="",B423=0),"",5.51*(C423/(B423^3)))</f>
        <v>0.4864342114448405</v>
      </c>
      <c r="H423">
        <v>5665</v>
      </c>
      <c r="I423">
        <v>1.443808295592147</v>
      </c>
      <c r="J423">
        <v>0.3</v>
      </c>
      <c r="L423">
        <f>IF(AND(B423&gt;=0.8,B423&lt;=1.5),1,IF(AND(B423&gt;=0.5,B423&lt;=2),0.5,0))</f>
        <v>0</v>
      </c>
      <c r="M423">
        <f>IF(AND(C423&gt;=0.5,C423&lt;=2),1,IF(AND(C423&gt;=0.1,C423&lt;=5),0.5,0))</f>
        <v>0</v>
      </c>
      <c r="N423">
        <f>IF(AND(G423&gt;=4,G423&lt;=7),1,IF(AND(G423&gt;=3,G423&lt;=8),0.5,0))</f>
        <v>0</v>
      </c>
      <c r="O423">
        <f>IF(AND(F423&gt;=270,F423&lt;=310),1,IF(AND(F423&gt;=250,F423&lt;=330),0.5,0))</f>
        <v>0</v>
      </c>
      <c r="P423">
        <f>IF(AND(E423&gt;=0.8,E423&lt;=1.5),1,IF(AND(E423&gt;=0.5,E423&lt;=2),0.5,0))</f>
        <v>0</v>
      </c>
      <c r="Q423">
        <f>IF(AND(H423&gt;=5000,H423&lt;=6000),1,IF(AND(H423&gt;=4000,H423&lt;5000),0.5,0))</f>
        <v>1</v>
      </c>
      <c r="R423">
        <f>0.35*AVERAGE(L423:M423:N423)+0.3*O423+0.2*P423+0.15*Q423</f>
        <v>0.15</v>
      </c>
      <c r="S423" t="str">
        <f>LEFT(K423,1)</f>
        <v/>
      </c>
      <c r="T423">
        <f>IF(S423="G",1,0)</f>
        <v>0</v>
      </c>
      <c r="U423">
        <f>IF(S423="K",1,0)</f>
        <v>0</v>
      </c>
      <c r="V423">
        <f>IF(S423="M",1,0)</f>
        <v>0</v>
      </c>
      <c r="W423">
        <f>IF(S423="F",1,0)</f>
        <v>0</v>
      </c>
    </row>
    <row r="424" spans="1:23" x14ac:dyDescent="0.3">
      <c r="A424" t="s">
        <v>325</v>
      </c>
      <c r="B424">
        <v>5.98</v>
      </c>
      <c r="D424">
        <v>3.3759399999999999</v>
      </c>
      <c r="F424">
        <v>1710</v>
      </c>
      <c r="G424" t="str">
        <f>IF(OR(C424="",B424="",B424=0),"",5.51*(C424/(B424^3)))</f>
        <v/>
      </c>
      <c r="H424">
        <v>5762</v>
      </c>
      <c r="I424">
        <v>2.8245955786297112</v>
      </c>
      <c r="J424">
        <v>0.27</v>
      </c>
      <c r="L424">
        <f>IF(AND(B424&gt;=0.8,B424&lt;=1.5),1,IF(AND(B424&gt;=0.5,B424&lt;=2),0.5,0))</f>
        <v>0</v>
      </c>
      <c r="M424">
        <f>IF(AND(C424&gt;=0.5,C424&lt;=2),1,IF(AND(C424&gt;=0.1,C424&lt;=5),0.5,0))</f>
        <v>0</v>
      </c>
      <c r="N424">
        <f>IF(AND(G424&gt;=4,G424&lt;=7),1,IF(AND(G424&gt;=3,G424&lt;=8),0.5,0))</f>
        <v>0</v>
      </c>
      <c r="O424">
        <f>IF(AND(F424&gt;=270,F424&lt;=310),1,IF(AND(F424&gt;=250,F424&lt;=330),0.5,0))</f>
        <v>0</v>
      </c>
      <c r="P424">
        <f>IF(AND(E424&gt;=0.8,E424&lt;=1.5),1,IF(AND(E424&gt;=0.5,E424&lt;=2),0.5,0))</f>
        <v>0</v>
      </c>
      <c r="Q424">
        <f>IF(AND(H424&gt;=5000,H424&lt;=6000),1,IF(AND(H424&gt;=4000,H424&lt;5000),0.5,0))</f>
        <v>1</v>
      </c>
      <c r="R424">
        <f>0.35*AVERAGE(L424:M424:N424)+0.3*O424+0.2*P424+0.15*Q424</f>
        <v>0.15</v>
      </c>
      <c r="S424" t="str">
        <f>LEFT(K424,1)</f>
        <v/>
      </c>
      <c r="T424">
        <f>IF(S424="G",1,0)</f>
        <v>0</v>
      </c>
      <c r="U424">
        <f>IF(S424="K",1,0)</f>
        <v>0</v>
      </c>
      <c r="V424">
        <f>IF(S424="M",1,0)</f>
        <v>0</v>
      </c>
      <c r="W424">
        <f>IF(S424="F",1,0)</f>
        <v>0</v>
      </c>
    </row>
    <row r="425" spans="1:23" x14ac:dyDescent="0.3">
      <c r="A425" t="s">
        <v>324</v>
      </c>
      <c r="B425">
        <v>2.63</v>
      </c>
      <c r="D425">
        <v>1.5080100000000001</v>
      </c>
      <c r="E425">
        <v>2.7E-2</v>
      </c>
      <c r="F425">
        <v>855</v>
      </c>
      <c r="G425" t="str">
        <f>IF(OR(C425="",B425="",B425=0),"",5.51*(C425/(B425^3)))</f>
        <v/>
      </c>
      <c r="H425">
        <v>4008</v>
      </c>
      <c r="I425">
        <v>9.9938181011122812E-2</v>
      </c>
      <c r="K425" t="s">
        <v>157</v>
      </c>
      <c r="L425">
        <f>IF(AND(B425&gt;=0.8,B425&lt;=1.5),1,IF(AND(B425&gt;=0.5,B425&lt;=2),0.5,0))</f>
        <v>0</v>
      </c>
      <c r="M425">
        <f>IF(AND(C425&gt;=0.5,C425&lt;=2),1,IF(AND(C425&gt;=0.1,C425&lt;=5),0.5,0))</f>
        <v>0</v>
      </c>
      <c r="N425">
        <f>IF(AND(G425&gt;=4,G425&lt;=7),1,IF(AND(G425&gt;=3,G425&lt;=8),0.5,0))</f>
        <v>0</v>
      </c>
      <c r="O425">
        <f>IF(AND(F425&gt;=270,F425&lt;=310),1,IF(AND(F425&gt;=250,F425&lt;=330),0.5,0))</f>
        <v>0</v>
      </c>
      <c r="P425">
        <f>IF(AND(E425&gt;=0.8,E425&lt;=1.5),1,IF(AND(E425&gt;=0.5,E425&lt;=2),0.5,0))</f>
        <v>0</v>
      </c>
      <c r="Q425">
        <f>IF(AND(H425&gt;=5000,H425&lt;=6000),1,IF(AND(H425&gt;=4000,H425&lt;5000),0.5,0))</f>
        <v>0.5</v>
      </c>
      <c r="R425">
        <f>0.35*AVERAGE(L425:M425:N425)+0.3*O425+0.2*P425+0.15*Q425</f>
        <v>7.4999999999999997E-2</v>
      </c>
      <c r="S425" t="str">
        <f>LEFT(K425,1)</f>
        <v>M</v>
      </c>
      <c r="T425">
        <f>IF(S425="G",1,0)</f>
        <v>0</v>
      </c>
      <c r="U425">
        <f>IF(S425="K",1,0)</f>
        <v>0</v>
      </c>
      <c r="V425">
        <f>IF(S425="M",1,0)</f>
        <v>1</v>
      </c>
      <c r="W425">
        <f>IF(S425="F",1,0)</f>
        <v>0</v>
      </c>
    </row>
    <row r="426" spans="1:23" x14ac:dyDescent="0.3">
      <c r="A426" t="s">
        <v>323</v>
      </c>
      <c r="B426">
        <v>2.65</v>
      </c>
      <c r="D426">
        <v>3.9940000000000002</v>
      </c>
      <c r="E426">
        <v>2.69E-2</v>
      </c>
      <c r="G426" t="str">
        <f>IF(OR(C426="",B426="",B426=0),"",5.51*(C426/(B426^3)))</f>
        <v/>
      </c>
      <c r="H426">
        <v>4031</v>
      </c>
      <c r="I426">
        <v>3.1042606777831001E-2</v>
      </c>
      <c r="J426">
        <v>-0.01</v>
      </c>
      <c r="L426">
        <f>IF(AND(B426&gt;=0.8,B426&lt;=1.5),1,IF(AND(B426&gt;=0.5,B426&lt;=2),0.5,0))</f>
        <v>0</v>
      </c>
      <c r="M426">
        <f>IF(AND(C426&gt;=0.5,C426&lt;=2),1,IF(AND(C426&gt;=0.1,C426&lt;=5),0.5,0))</f>
        <v>0</v>
      </c>
      <c r="N426">
        <f>IF(AND(G426&gt;=4,G426&lt;=7),1,IF(AND(G426&gt;=3,G426&lt;=8),0.5,0))</f>
        <v>0</v>
      </c>
      <c r="O426">
        <f>IF(AND(F426&gt;=270,F426&lt;=310),1,IF(AND(F426&gt;=250,F426&lt;=330),0.5,0))</f>
        <v>0</v>
      </c>
      <c r="P426">
        <f>IF(AND(E426&gt;=0.8,E426&lt;=1.5),1,IF(AND(E426&gt;=0.5,E426&lt;=2),0.5,0))</f>
        <v>0</v>
      </c>
      <c r="Q426">
        <f>IF(AND(H426&gt;=5000,H426&lt;=6000),1,IF(AND(H426&gt;=4000,H426&lt;5000),0.5,0))</f>
        <v>0.5</v>
      </c>
      <c r="R426">
        <f>0.35*AVERAGE(L426:M426:N426)+0.3*O426+0.2*P426+0.15*Q426</f>
        <v>7.4999999999999997E-2</v>
      </c>
      <c r="S426" t="str">
        <f>LEFT(K426,1)</f>
        <v/>
      </c>
      <c r="T426">
        <f>IF(S426="G",1,0)</f>
        <v>0</v>
      </c>
      <c r="U426">
        <f>IF(S426="K",1,0)</f>
        <v>0</v>
      </c>
      <c r="V426">
        <f>IF(S426="M",1,0)</f>
        <v>0</v>
      </c>
      <c r="W426">
        <f>IF(S426="F",1,0)</f>
        <v>0</v>
      </c>
    </row>
    <row r="427" spans="1:23" x14ac:dyDescent="0.3">
      <c r="A427" t="s">
        <v>322</v>
      </c>
      <c r="B427">
        <v>17.261830280000002</v>
      </c>
      <c r="C427">
        <v>139.84449907999999</v>
      </c>
      <c r="D427">
        <v>4.8084983000000001</v>
      </c>
      <c r="E427">
        <v>5.6899999999999999E-2</v>
      </c>
      <c r="F427">
        <v>1205</v>
      </c>
      <c r="G427">
        <f>IF(OR(C427="",B427="",B427=0),"",5.51*(C427/(B427^3)))</f>
        <v>0.14980850143074875</v>
      </c>
      <c r="H427">
        <v>5764</v>
      </c>
      <c r="I427">
        <v>1.1317256236405289</v>
      </c>
      <c r="J427">
        <v>0.23899999999999999</v>
      </c>
      <c r="L427">
        <f>IF(AND(B427&gt;=0.8,B427&lt;=1.5),1,IF(AND(B427&gt;=0.5,B427&lt;=2),0.5,0))</f>
        <v>0</v>
      </c>
      <c r="M427">
        <f>IF(AND(C427&gt;=0.5,C427&lt;=2),1,IF(AND(C427&gt;=0.1,C427&lt;=5),0.5,0))</f>
        <v>0</v>
      </c>
      <c r="N427">
        <f>IF(AND(G427&gt;=4,G427&lt;=7),1,IF(AND(G427&gt;=3,G427&lt;=8),0.5,0))</f>
        <v>0</v>
      </c>
      <c r="O427">
        <f>IF(AND(F427&gt;=270,F427&lt;=310),1,IF(AND(F427&gt;=250,F427&lt;=330),0.5,0))</f>
        <v>0</v>
      </c>
      <c r="P427">
        <f>IF(AND(E427&gt;=0.8,E427&lt;=1.5),1,IF(AND(E427&gt;=0.5,E427&lt;=2),0.5,0))</f>
        <v>0</v>
      </c>
      <c r="Q427">
        <f>IF(AND(H427&gt;=5000,H427&lt;=6000),1,IF(AND(H427&gt;=4000,H427&lt;5000),0.5,0))</f>
        <v>1</v>
      </c>
      <c r="R427">
        <f>0.35*AVERAGE(L427:M427:N427)+0.3*O427+0.2*P427+0.15*Q427</f>
        <v>0.15</v>
      </c>
      <c r="S427" t="str">
        <f>LEFT(K427,1)</f>
        <v/>
      </c>
      <c r="T427">
        <f>IF(S427="G",1,0)</f>
        <v>0</v>
      </c>
      <c r="U427">
        <f>IF(S427="K",1,0)</f>
        <v>0</v>
      </c>
      <c r="V427">
        <f>IF(S427="M",1,0)</f>
        <v>0</v>
      </c>
      <c r="W427">
        <f>IF(S427="F",1,0)</f>
        <v>0</v>
      </c>
    </row>
    <row r="428" spans="1:23" x14ac:dyDescent="0.3">
      <c r="A428" t="s">
        <v>321</v>
      </c>
      <c r="B428">
        <v>18.113712809999999</v>
      </c>
      <c r="C428">
        <v>309.88269681999998</v>
      </c>
      <c r="D428">
        <v>1.9622932500000001</v>
      </c>
      <c r="E428">
        <v>3.1850000000000003E-2</v>
      </c>
      <c r="F428">
        <v>1893</v>
      </c>
      <c r="G428">
        <f>IF(OR(C428="",B428="",B428=0),"",5.51*(C428/(B428^3)))</f>
        <v>0.28729395784498218</v>
      </c>
      <c r="H428">
        <v>6280</v>
      </c>
      <c r="I428">
        <v>2.1630528353955309</v>
      </c>
      <c r="J428">
        <v>-0.105</v>
      </c>
      <c r="L428">
        <f>IF(AND(B428&gt;=0.8,B428&lt;=1.5),1,IF(AND(B428&gt;=0.5,B428&lt;=2),0.5,0))</f>
        <v>0</v>
      </c>
      <c r="M428">
        <f>IF(AND(C428&gt;=0.5,C428&lt;=2),1,IF(AND(C428&gt;=0.1,C428&lt;=5),0.5,0))</f>
        <v>0</v>
      </c>
      <c r="N428">
        <f>IF(AND(G428&gt;=4,G428&lt;=7),1,IF(AND(G428&gt;=3,G428&lt;=8),0.5,0))</f>
        <v>0</v>
      </c>
      <c r="O428">
        <f>IF(AND(F428&gt;=270,F428&lt;=310),1,IF(AND(F428&gt;=250,F428&lt;=330),0.5,0))</f>
        <v>0</v>
      </c>
      <c r="P428">
        <f>IF(AND(E428&gt;=0.8,E428&lt;=1.5),1,IF(AND(E428&gt;=0.5,E428&lt;=2),0.5,0))</f>
        <v>0</v>
      </c>
      <c r="Q428">
        <f>IF(AND(H428&gt;=5000,H428&lt;=6000),1,IF(AND(H428&gt;=4000,H428&lt;5000),0.5,0))</f>
        <v>0</v>
      </c>
      <c r="R428">
        <f>0.35*AVERAGE(L428:M428:N428)+0.3*O428+0.2*P428+0.15*Q428</f>
        <v>0</v>
      </c>
      <c r="S428" t="str">
        <f>LEFT(K428,1)</f>
        <v/>
      </c>
      <c r="T428">
        <f>IF(S428="G",1,0)</f>
        <v>0</v>
      </c>
      <c r="U428">
        <f>IF(S428="K",1,0)</f>
        <v>0</v>
      </c>
      <c r="V428">
        <f>IF(S428="M",1,0)</f>
        <v>0</v>
      </c>
      <c r="W428">
        <f>IF(S428="F",1,0)</f>
        <v>0</v>
      </c>
    </row>
    <row r="429" spans="1:23" x14ac:dyDescent="0.3">
      <c r="A429" t="s">
        <v>320</v>
      </c>
      <c r="B429">
        <v>15.27784069</v>
      </c>
      <c r="C429">
        <v>225.65816896999999</v>
      </c>
      <c r="D429">
        <v>4.0397090000000002</v>
      </c>
      <c r="E429">
        <v>4.9299999999999997E-2</v>
      </c>
      <c r="F429">
        <v>1376</v>
      </c>
      <c r="G429">
        <f>IF(OR(C429="",B429="",B429=0),"",5.51*(C429/(B429^3)))</f>
        <v>0.34867172264869706</v>
      </c>
      <c r="H429">
        <v>5721</v>
      </c>
      <c r="I429">
        <v>1.4517151422563972</v>
      </c>
      <c r="J429">
        <v>-0.02</v>
      </c>
      <c r="L429">
        <f>IF(AND(B429&gt;=0.8,B429&lt;=1.5),1,IF(AND(B429&gt;=0.5,B429&lt;=2),0.5,0))</f>
        <v>0</v>
      </c>
      <c r="M429">
        <f>IF(AND(C429&gt;=0.5,C429&lt;=2),1,IF(AND(C429&gt;=0.1,C429&lt;=5),0.5,0))</f>
        <v>0</v>
      </c>
      <c r="N429">
        <f>IF(AND(G429&gt;=4,G429&lt;=7),1,IF(AND(G429&gt;=3,G429&lt;=8),0.5,0))</f>
        <v>0</v>
      </c>
      <c r="O429">
        <f>IF(AND(F429&gt;=270,F429&lt;=310),1,IF(AND(F429&gt;=250,F429&lt;=330),0.5,0))</f>
        <v>0</v>
      </c>
      <c r="P429">
        <f>IF(AND(E429&gt;=0.8,E429&lt;=1.5),1,IF(AND(E429&gt;=0.5,E429&lt;=2),0.5,0))</f>
        <v>0</v>
      </c>
      <c r="Q429">
        <f>IF(AND(H429&gt;=5000,H429&lt;=6000),1,IF(AND(H429&gt;=4000,H429&lt;5000),0.5,0))</f>
        <v>1</v>
      </c>
      <c r="R429">
        <f>0.35*AVERAGE(L429:M429:N429)+0.3*O429+0.2*P429+0.15*Q429</f>
        <v>0.15</v>
      </c>
      <c r="S429" t="str">
        <f>LEFT(K429,1)</f>
        <v/>
      </c>
      <c r="T429">
        <f>IF(S429="G",1,0)</f>
        <v>0</v>
      </c>
      <c r="U429">
        <f>IF(S429="K",1,0)</f>
        <v>0</v>
      </c>
      <c r="V429">
        <f>IF(S429="M",1,0)</f>
        <v>0</v>
      </c>
      <c r="W429">
        <f>IF(S429="F",1,0)</f>
        <v>0</v>
      </c>
    </row>
    <row r="430" spans="1:23" x14ac:dyDescent="0.3">
      <c r="A430" t="s">
        <v>319</v>
      </c>
      <c r="B430">
        <v>2.34</v>
      </c>
      <c r="C430">
        <v>6.54</v>
      </c>
      <c r="D430">
        <v>17.617450000000002</v>
      </c>
      <c r="E430">
        <v>0.123</v>
      </c>
      <c r="F430">
        <v>661</v>
      </c>
      <c r="G430">
        <f>IF(OR(C430="",B430="",B430=0),"",5.51*(C430/(B430^3)))</f>
        <v>2.8124303436597984</v>
      </c>
      <c r="H430">
        <v>5213</v>
      </c>
      <c r="I430">
        <v>0.47871672537885218</v>
      </c>
      <c r="J430">
        <v>-0.09</v>
      </c>
      <c r="K430" t="s">
        <v>20</v>
      </c>
      <c r="L430">
        <f>IF(AND(B430&gt;=0.8,B430&lt;=1.5),1,IF(AND(B430&gt;=0.5,B430&lt;=2),0.5,0))</f>
        <v>0</v>
      </c>
      <c r="M430">
        <f>IF(AND(C430&gt;=0.5,C430&lt;=2),1,IF(AND(C430&gt;=0.1,C430&lt;=5),0.5,0))</f>
        <v>0</v>
      </c>
      <c r="N430">
        <f>IF(AND(G430&gt;=4,G430&lt;=7),1,IF(AND(G430&gt;=3,G430&lt;=8),0.5,0))</f>
        <v>0</v>
      </c>
      <c r="O430">
        <f>IF(AND(F430&gt;=270,F430&lt;=310),1,IF(AND(F430&gt;=250,F430&lt;=330),0.5,0))</f>
        <v>0</v>
      </c>
      <c r="P430">
        <f>IF(AND(E430&gt;=0.8,E430&lt;=1.5),1,IF(AND(E430&gt;=0.5,E430&lt;=2),0.5,0))</f>
        <v>0</v>
      </c>
      <c r="Q430">
        <f>IF(AND(H430&gt;=5000,H430&lt;=6000),1,IF(AND(H430&gt;=4000,H430&lt;5000),0.5,0))</f>
        <v>1</v>
      </c>
      <c r="R430">
        <f>0.35*AVERAGE(L430:M430:N430)+0.3*O430+0.2*P430+0.15*Q430</f>
        <v>0.15</v>
      </c>
      <c r="S430" t="str">
        <f>LEFT(K430,1)</f>
        <v>K</v>
      </c>
      <c r="T430">
        <f>IF(S430="G",1,0)</f>
        <v>0</v>
      </c>
      <c r="U430">
        <f>IF(S430="K",1,0)</f>
        <v>1</v>
      </c>
      <c r="V430">
        <f>IF(S430="M",1,0)</f>
        <v>0</v>
      </c>
      <c r="W430">
        <f>IF(S430="F",1,0)</f>
        <v>0</v>
      </c>
    </row>
    <row r="431" spans="1:23" x14ac:dyDescent="0.3">
      <c r="A431" t="s">
        <v>318</v>
      </c>
      <c r="B431">
        <v>12.845491880000001</v>
      </c>
      <c r="C431">
        <v>117.59651058999999</v>
      </c>
      <c r="D431">
        <v>3.5514057999999999</v>
      </c>
      <c r="E431">
        <v>4.7500000000000001E-2</v>
      </c>
      <c r="F431">
        <v>1471</v>
      </c>
      <c r="G431">
        <f>IF(OR(C431="",B431="",B431=0),"",5.51*(C431/(B431^3)))</f>
        <v>0.30569885865176283</v>
      </c>
      <c r="H431">
        <v>5910</v>
      </c>
      <c r="I431">
        <v>1.7515430842761732</v>
      </c>
      <c r="J431">
        <v>0.23300000000000001</v>
      </c>
      <c r="L431">
        <f>IF(AND(B431&gt;=0.8,B431&lt;=1.5),1,IF(AND(B431&gt;=0.5,B431&lt;=2),0.5,0))</f>
        <v>0</v>
      </c>
      <c r="M431">
        <f>IF(AND(C431&gt;=0.5,C431&lt;=2),1,IF(AND(C431&gt;=0.1,C431&lt;=5),0.5,0))</f>
        <v>0</v>
      </c>
      <c r="N431">
        <f>IF(AND(G431&gt;=4,G431&lt;=7),1,IF(AND(G431&gt;=3,G431&lt;=8),0.5,0))</f>
        <v>0</v>
      </c>
      <c r="O431">
        <f>IF(AND(F431&gt;=270,F431&lt;=310),1,IF(AND(F431&gt;=250,F431&lt;=330),0.5,0))</f>
        <v>0</v>
      </c>
      <c r="P431">
        <f>IF(AND(E431&gt;=0.8,E431&lt;=1.5),1,IF(AND(E431&gt;=0.5,E431&lt;=2),0.5,0))</f>
        <v>0</v>
      </c>
      <c r="Q431">
        <f>IF(AND(H431&gt;=5000,H431&lt;=6000),1,IF(AND(H431&gt;=4000,H431&lt;5000),0.5,0))</f>
        <v>1</v>
      </c>
      <c r="R431">
        <f>0.35*AVERAGE(L431:M431:N431)+0.3*O431+0.2*P431+0.15*Q431</f>
        <v>0.15</v>
      </c>
      <c r="S431" t="str">
        <f>LEFT(K431,1)</f>
        <v/>
      </c>
      <c r="T431">
        <f>IF(S431="G",1,0)</f>
        <v>0</v>
      </c>
      <c r="U431">
        <f>IF(S431="K",1,0)</f>
        <v>0</v>
      </c>
      <c r="V431">
        <f>IF(S431="M",1,0)</f>
        <v>0</v>
      </c>
      <c r="W431">
        <f>IF(S431="F",1,0)</f>
        <v>0</v>
      </c>
    </row>
    <row r="432" spans="1:23" x14ac:dyDescent="0.3">
      <c r="A432" t="s">
        <v>317</v>
      </c>
      <c r="B432">
        <v>1.42</v>
      </c>
      <c r="C432">
        <v>4.53</v>
      </c>
      <c r="D432">
        <v>4.5117244000000003</v>
      </c>
      <c r="E432">
        <v>5.0299999999999997E-2</v>
      </c>
      <c r="F432">
        <v>979</v>
      </c>
      <c r="G432">
        <f>IF(OR(C432="",B432="",B432=0),"",5.51*(C432/(B432^3)))</f>
        <v>8.7173557113360598</v>
      </c>
      <c r="H432">
        <v>5152</v>
      </c>
      <c r="I432">
        <v>0.38457626101401615</v>
      </c>
      <c r="J432">
        <v>-0.05</v>
      </c>
      <c r="K432" t="s">
        <v>33</v>
      </c>
      <c r="L432">
        <f>IF(AND(B432&gt;=0.8,B432&lt;=1.5),1,IF(AND(B432&gt;=0.5,B432&lt;=2),0.5,0))</f>
        <v>1</v>
      </c>
      <c r="M432">
        <f>IF(AND(C432&gt;=0.5,C432&lt;=2),1,IF(AND(C432&gt;=0.1,C432&lt;=5),0.5,0))</f>
        <v>0.5</v>
      </c>
      <c r="N432">
        <f>IF(AND(G432&gt;=4,G432&lt;=7),1,IF(AND(G432&gt;=3,G432&lt;=8),0.5,0))</f>
        <v>0</v>
      </c>
      <c r="O432">
        <f>IF(AND(F432&gt;=270,F432&lt;=310),1,IF(AND(F432&gt;=250,F432&lt;=330),0.5,0))</f>
        <v>0</v>
      </c>
      <c r="P432">
        <f>IF(AND(E432&gt;=0.8,E432&lt;=1.5),1,IF(AND(E432&gt;=0.5,E432&lt;=2),0.5,0))</f>
        <v>0</v>
      </c>
      <c r="Q432">
        <f>IF(AND(H432&gt;=5000,H432&lt;=6000),1,IF(AND(H432&gt;=4000,H432&lt;5000),0.5,0))</f>
        <v>1</v>
      </c>
      <c r="R432">
        <f>0.35*AVERAGE(L432:M432:N432)+0.3*O432+0.2*P432+0.15*Q432</f>
        <v>0.32499999999999996</v>
      </c>
      <c r="S432" t="str">
        <f>LEFT(K432,1)</f>
        <v>K</v>
      </c>
      <c r="T432">
        <f>IF(S432="G",1,0)</f>
        <v>0</v>
      </c>
      <c r="U432">
        <f>IF(S432="K",1,0)</f>
        <v>1</v>
      </c>
      <c r="V432">
        <f>IF(S432="M",1,0)</f>
        <v>0</v>
      </c>
      <c r="W432">
        <f>IF(S432="F",1,0)</f>
        <v>0</v>
      </c>
    </row>
    <row r="433" spans="1:23" x14ac:dyDescent="0.3">
      <c r="A433" t="s">
        <v>316</v>
      </c>
      <c r="B433">
        <v>1.88</v>
      </c>
      <c r="C433">
        <v>3.72</v>
      </c>
      <c r="D433">
        <v>39.361826000000001</v>
      </c>
      <c r="E433">
        <v>0.21299999999999999</v>
      </c>
      <c r="F433">
        <v>475</v>
      </c>
      <c r="G433">
        <f>IF(OR(C433="",B433="",B433=0),"",5.51*(C433/(B433^3)))</f>
        <v>3.0847572310567029</v>
      </c>
      <c r="H433">
        <v>5152</v>
      </c>
      <c r="I433">
        <v>0.38457626101401615</v>
      </c>
      <c r="J433">
        <v>-0.05</v>
      </c>
      <c r="K433" t="s">
        <v>33</v>
      </c>
      <c r="L433">
        <f>IF(AND(B433&gt;=0.8,B433&lt;=1.5),1,IF(AND(B433&gt;=0.5,B433&lt;=2),0.5,0))</f>
        <v>0.5</v>
      </c>
      <c r="M433">
        <f>IF(AND(C433&gt;=0.5,C433&lt;=2),1,IF(AND(C433&gt;=0.1,C433&lt;=5),0.5,0))</f>
        <v>0.5</v>
      </c>
      <c r="N433">
        <f>IF(AND(G433&gt;=4,G433&lt;=7),1,IF(AND(G433&gt;=3,G433&lt;=8),0.5,0))</f>
        <v>0.5</v>
      </c>
      <c r="O433">
        <f>IF(AND(F433&gt;=270,F433&lt;=310),1,IF(AND(F433&gt;=250,F433&lt;=330),0.5,0))</f>
        <v>0</v>
      </c>
      <c r="P433">
        <f>IF(AND(E433&gt;=0.8,E433&lt;=1.5),1,IF(AND(E433&gt;=0.5,E433&lt;=2),0.5,0))</f>
        <v>0</v>
      </c>
      <c r="Q433">
        <f>IF(AND(H433&gt;=5000,H433&lt;=6000),1,IF(AND(H433&gt;=4000,H433&lt;5000),0.5,0))</f>
        <v>1</v>
      </c>
      <c r="R433">
        <f>0.35*AVERAGE(L433:M433:N433)+0.3*O433+0.2*P433+0.15*Q433</f>
        <v>0.32499999999999996</v>
      </c>
      <c r="S433" t="str">
        <f>LEFT(K433,1)</f>
        <v>K</v>
      </c>
      <c r="T433">
        <f>IF(S433="G",1,0)</f>
        <v>0</v>
      </c>
      <c r="U433">
        <f>IF(S433="K",1,0)</f>
        <v>1</v>
      </c>
      <c r="V433">
        <f>IF(S433="M",1,0)</f>
        <v>0</v>
      </c>
      <c r="W433">
        <f>IF(S433="F",1,0)</f>
        <v>0</v>
      </c>
    </row>
    <row r="434" spans="1:23" x14ac:dyDescent="0.3">
      <c r="A434" t="s">
        <v>315</v>
      </c>
      <c r="B434">
        <v>9.6397233999999994</v>
      </c>
      <c r="C434">
        <v>54.030829189999999</v>
      </c>
      <c r="D434">
        <v>6.2996430999999999</v>
      </c>
      <c r="E434">
        <v>6.54E-2</v>
      </c>
      <c r="F434">
        <v>929</v>
      </c>
      <c r="G434">
        <f>IF(OR(C434="",B434="",B434=0),"",5.51*(C434/(B434^3)))</f>
        <v>0.33235293148871853</v>
      </c>
      <c r="H434">
        <v>5271</v>
      </c>
      <c r="I434">
        <v>0.52782554188602215</v>
      </c>
      <c r="J434">
        <v>0.35299999999999998</v>
      </c>
      <c r="L434">
        <f>IF(AND(B434&gt;=0.8,B434&lt;=1.5),1,IF(AND(B434&gt;=0.5,B434&lt;=2),0.5,0))</f>
        <v>0</v>
      </c>
      <c r="M434">
        <f>IF(AND(C434&gt;=0.5,C434&lt;=2),1,IF(AND(C434&gt;=0.1,C434&lt;=5),0.5,0))</f>
        <v>0</v>
      </c>
      <c r="N434">
        <f>IF(AND(G434&gt;=4,G434&lt;=7),1,IF(AND(G434&gt;=3,G434&lt;=8),0.5,0))</f>
        <v>0</v>
      </c>
      <c r="O434">
        <f>IF(AND(F434&gt;=270,F434&lt;=310),1,IF(AND(F434&gt;=250,F434&lt;=330),0.5,0))</f>
        <v>0</v>
      </c>
      <c r="P434">
        <f>IF(AND(E434&gt;=0.8,E434&lt;=1.5),1,IF(AND(E434&gt;=0.5,E434&lt;=2),0.5,0))</f>
        <v>0</v>
      </c>
      <c r="Q434">
        <f>IF(AND(H434&gt;=5000,H434&lt;=6000),1,IF(AND(H434&gt;=4000,H434&lt;5000),0.5,0))</f>
        <v>1</v>
      </c>
      <c r="R434">
        <f>0.35*AVERAGE(L434:M434:N434)+0.3*O434+0.2*P434+0.15*Q434</f>
        <v>0.15</v>
      </c>
      <c r="S434" t="str">
        <f>LEFT(K434,1)</f>
        <v/>
      </c>
      <c r="T434">
        <f>IF(S434="G",1,0)</f>
        <v>0</v>
      </c>
      <c r="U434">
        <f>IF(S434="K",1,0)</f>
        <v>0</v>
      </c>
      <c r="V434">
        <f>IF(S434="M",1,0)</f>
        <v>0</v>
      </c>
      <c r="W434">
        <f>IF(S434="F",1,0)</f>
        <v>0</v>
      </c>
    </row>
    <row r="435" spans="1:23" x14ac:dyDescent="0.3">
      <c r="A435" t="s">
        <v>314</v>
      </c>
      <c r="B435">
        <v>18.640534899999999</v>
      </c>
      <c r="C435">
        <v>444.9597698</v>
      </c>
      <c r="D435">
        <v>1.6020010499999999</v>
      </c>
      <c r="E435">
        <v>2.8709999999999999E-2</v>
      </c>
      <c r="F435">
        <v>1978</v>
      </c>
      <c r="G435">
        <f>IF(OR(C435="",B435="",B435=0),"",5.51*(C435/(B435^3)))</f>
        <v>0.37852732369460029</v>
      </c>
      <c r="H435">
        <v>6240</v>
      </c>
      <c r="I435">
        <v>2.0949408808140859</v>
      </c>
      <c r="J435">
        <v>0.28399999999999997</v>
      </c>
      <c r="L435">
        <f>IF(AND(B435&gt;=0.8,B435&lt;=1.5),1,IF(AND(B435&gt;=0.5,B435&lt;=2),0.5,0))</f>
        <v>0</v>
      </c>
      <c r="M435">
        <f>IF(AND(C435&gt;=0.5,C435&lt;=2),1,IF(AND(C435&gt;=0.1,C435&lt;=5),0.5,0))</f>
        <v>0</v>
      </c>
      <c r="N435">
        <f>IF(AND(G435&gt;=4,G435&lt;=7),1,IF(AND(G435&gt;=3,G435&lt;=8),0.5,0))</f>
        <v>0</v>
      </c>
      <c r="O435">
        <f>IF(AND(F435&gt;=270,F435&lt;=310),1,IF(AND(F435&gt;=250,F435&lt;=330),0.5,0))</f>
        <v>0</v>
      </c>
      <c r="P435">
        <f>IF(AND(E435&gt;=0.8,E435&lt;=1.5),1,IF(AND(E435&gt;=0.5,E435&lt;=2),0.5,0))</f>
        <v>0</v>
      </c>
      <c r="Q435">
        <f>IF(AND(H435&gt;=5000,H435&lt;=6000),1,IF(AND(H435&gt;=4000,H435&lt;5000),0.5,0))</f>
        <v>0</v>
      </c>
      <c r="R435">
        <f>0.35*AVERAGE(L435:M435:N435)+0.3*O435+0.2*P435+0.15*Q435</f>
        <v>0</v>
      </c>
      <c r="S435" t="str">
        <f>LEFT(K435,1)</f>
        <v/>
      </c>
      <c r="T435">
        <f>IF(S435="G",1,0)</f>
        <v>0</v>
      </c>
      <c r="U435">
        <f>IF(S435="K",1,0)</f>
        <v>0</v>
      </c>
      <c r="V435">
        <f>IF(S435="M",1,0)</f>
        <v>0</v>
      </c>
      <c r="W435">
        <f>IF(S435="F",1,0)</f>
        <v>0</v>
      </c>
    </row>
    <row r="436" spans="1:23" x14ac:dyDescent="0.3">
      <c r="A436" t="s">
        <v>313</v>
      </c>
      <c r="B436">
        <v>12.329878770000001</v>
      </c>
      <c r="C436">
        <v>368.68095211999997</v>
      </c>
      <c r="D436">
        <v>1.8237146</v>
      </c>
      <c r="E436">
        <v>2.6100000000000002E-2</v>
      </c>
      <c r="F436">
        <v>1186</v>
      </c>
      <c r="G436">
        <f>IF(OR(C436="",B436="",B436=0),"",5.51*(C436/(B436^3)))</f>
        <v>1.0837419376360833</v>
      </c>
      <c r="H436">
        <v>4738</v>
      </c>
      <c r="I436">
        <v>0.22154714384662838</v>
      </c>
      <c r="J436">
        <v>0.08</v>
      </c>
      <c r="K436" t="s">
        <v>33</v>
      </c>
      <c r="L436">
        <f>IF(AND(B436&gt;=0.8,B436&lt;=1.5),1,IF(AND(B436&gt;=0.5,B436&lt;=2),0.5,0))</f>
        <v>0</v>
      </c>
      <c r="M436">
        <f>IF(AND(C436&gt;=0.5,C436&lt;=2),1,IF(AND(C436&gt;=0.1,C436&lt;=5),0.5,0))</f>
        <v>0</v>
      </c>
      <c r="N436">
        <f>IF(AND(G436&gt;=4,G436&lt;=7),1,IF(AND(G436&gt;=3,G436&lt;=8),0.5,0))</f>
        <v>0</v>
      </c>
      <c r="O436">
        <f>IF(AND(F436&gt;=270,F436&lt;=310),1,IF(AND(F436&gt;=250,F436&lt;=330),0.5,0))</f>
        <v>0</v>
      </c>
      <c r="P436">
        <f>IF(AND(E436&gt;=0.8,E436&lt;=1.5),1,IF(AND(E436&gt;=0.5,E436&lt;=2),0.5,0))</f>
        <v>0</v>
      </c>
      <c r="Q436">
        <f>IF(AND(H436&gt;=5000,H436&lt;=6000),1,IF(AND(H436&gt;=4000,H436&lt;5000),0.5,0))</f>
        <v>0.5</v>
      </c>
      <c r="R436">
        <f>0.35*AVERAGE(L436:M436:N436)+0.3*O436+0.2*P436+0.15*Q436</f>
        <v>7.4999999999999997E-2</v>
      </c>
      <c r="S436" t="str">
        <f>LEFT(K436,1)</f>
        <v>K</v>
      </c>
      <c r="T436">
        <f>IF(S436="G",1,0)</f>
        <v>0</v>
      </c>
      <c r="U436">
        <f>IF(S436="K",1,0)</f>
        <v>1</v>
      </c>
      <c r="V436">
        <f>IF(S436="M",1,0)</f>
        <v>0</v>
      </c>
      <c r="W436">
        <f>IF(S436="F",1,0)</f>
        <v>0</v>
      </c>
    </row>
    <row r="437" spans="1:23" x14ac:dyDescent="0.3">
      <c r="A437" t="s">
        <v>312</v>
      </c>
      <c r="B437">
        <v>13.15934334</v>
      </c>
      <c r="C437">
        <v>533.95172376000005</v>
      </c>
      <c r="D437">
        <v>2.3505614000000001</v>
      </c>
      <c r="E437">
        <v>3.3860000000000001E-2</v>
      </c>
      <c r="F437">
        <v>1544</v>
      </c>
      <c r="G437">
        <f>IF(OR(C437="",B437="",B437=0),"",5.51*(C437/(B437^3)))</f>
        <v>1.2910734106736841</v>
      </c>
      <c r="H437">
        <v>5691</v>
      </c>
      <c r="I437">
        <v>1.0835367265165363</v>
      </c>
      <c r="J437">
        <v>1.2999999999999999E-2</v>
      </c>
      <c r="L437">
        <f>IF(AND(B437&gt;=0.8,B437&lt;=1.5),1,IF(AND(B437&gt;=0.5,B437&lt;=2),0.5,0))</f>
        <v>0</v>
      </c>
      <c r="M437">
        <f>IF(AND(C437&gt;=0.5,C437&lt;=2),1,IF(AND(C437&gt;=0.1,C437&lt;=5),0.5,0))</f>
        <v>0</v>
      </c>
      <c r="N437">
        <f>IF(AND(G437&gt;=4,G437&lt;=7),1,IF(AND(G437&gt;=3,G437&lt;=8),0.5,0))</f>
        <v>0</v>
      </c>
      <c r="O437">
        <f>IF(AND(F437&gt;=270,F437&lt;=310),1,IF(AND(F437&gt;=250,F437&lt;=330),0.5,0))</f>
        <v>0</v>
      </c>
      <c r="P437">
        <f>IF(AND(E437&gt;=0.8,E437&lt;=1.5),1,IF(AND(E437&gt;=0.5,E437&lt;=2),0.5,0))</f>
        <v>0</v>
      </c>
      <c r="Q437">
        <f>IF(AND(H437&gt;=5000,H437&lt;=6000),1,IF(AND(H437&gt;=4000,H437&lt;5000),0.5,0))</f>
        <v>1</v>
      </c>
      <c r="R437">
        <f>0.35*AVERAGE(L437:M437:N437)+0.3*O437+0.2*P437+0.15*Q437</f>
        <v>0.15</v>
      </c>
      <c r="S437" t="str">
        <f>LEFT(K437,1)</f>
        <v/>
      </c>
      <c r="T437">
        <f>IF(S437="G",1,0)</f>
        <v>0</v>
      </c>
      <c r="U437">
        <f>IF(S437="K",1,0)</f>
        <v>0</v>
      </c>
      <c r="V437">
        <f>IF(S437="M",1,0)</f>
        <v>0</v>
      </c>
      <c r="W437">
        <f>IF(S437="F",1,0)</f>
        <v>0</v>
      </c>
    </row>
    <row r="438" spans="1:23" x14ac:dyDescent="0.3">
      <c r="A438" t="s">
        <v>311</v>
      </c>
      <c r="B438">
        <v>13.4</v>
      </c>
      <c r="C438">
        <v>638</v>
      </c>
      <c r="D438">
        <v>3.6015009999999998</v>
      </c>
      <c r="E438">
        <v>4.8000000000000001E-2</v>
      </c>
      <c r="F438">
        <v>1358</v>
      </c>
      <c r="G438">
        <f>IF(OR(C438="",B438="",B438=0),"",5.51*(C438/(B438^3)))</f>
        <v>1.4610257910713749</v>
      </c>
      <c r="H438">
        <v>5940</v>
      </c>
      <c r="I438">
        <v>1.3028161719839224</v>
      </c>
      <c r="J438">
        <v>-0.11</v>
      </c>
      <c r="L438">
        <f>IF(AND(B438&gt;=0.8,B438&lt;=1.5),1,IF(AND(B438&gt;=0.5,B438&lt;=2),0.5,0))</f>
        <v>0</v>
      </c>
      <c r="M438">
        <f>IF(AND(C438&gt;=0.5,C438&lt;=2),1,IF(AND(C438&gt;=0.1,C438&lt;=5),0.5,0))</f>
        <v>0</v>
      </c>
      <c r="N438">
        <f>IF(AND(G438&gt;=4,G438&lt;=7),1,IF(AND(G438&gt;=3,G438&lt;=8),0.5,0))</f>
        <v>0</v>
      </c>
      <c r="O438">
        <f>IF(AND(F438&gt;=270,F438&lt;=310),1,IF(AND(F438&gt;=250,F438&lt;=330),0.5,0))</f>
        <v>0</v>
      </c>
      <c r="P438">
        <f>IF(AND(E438&gt;=0.8,E438&lt;=1.5),1,IF(AND(E438&gt;=0.5,E438&lt;=2),0.5,0))</f>
        <v>0</v>
      </c>
      <c r="Q438">
        <f>IF(AND(H438&gt;=5000,H438&lt;=6000),1,IF(AND(H438&gt;=4000,H438&lt;5000),0.5,0))</f>
        <v>1</v>
      </c>
      <c r="R438">
        <f>0.35*AVERAGE(L438:M438:N438)+0.3*O438+0.2*P438+0.15*Q438</f>
        <v>0.15</v>
      </c>
      <c r="S438" t="str">
        <f>LEFT(K438,1)</f>
        <v/>
      </c>
      <c r="T438">
        <f>IF(S438="G",1,0)</f>
        <v>0</v>
      </c>
      <c r="U438">
        <f>IF(S438="K",1,0)</f>
        <v>0</v>
      </c>
      <c r="V438">
        <f>IF(S438="M",1,0)</f>
        <v>0</v>
      </c>
      <c r="W438">
        <f>IF(S438="F",1,0)</f>
        <v>0</v>
      </c>
    </row>
    <row r="439" spans="1:23" x14ac:dyDescent="0.3">
      <c r="A439" t="s">
        <v>310</v>
      </c>
      <c r="B439">
        <v>9.2922449999999994</v>
      </c>
      <c r="C439">
        <v>96.619835730000005</v>
      </c>
      <c r="D439">
        <v>3.2783661999999998</v>
      </c>
      <c r="E439">
        <v>4.4889999999999999E-2</v>
      </c>
      <c r="F439">
        <v>1622</v>
      </c>
      <c r="G439">
        <f>IF(OR(C439="",B439="",B439=0),"",5.51*(C439/(B439^3)))</f>
        <v>0.66352293317963373</v>
      </c>
      <c r="H439">
        <v>5906</v>
      </c>
      <c r="I439">
        <v>2.3204844819044261</v>
      </c>
      <c r="J439">
        <v>9.5000000000000001E-2</v>
      </c>
      <c r="L439">
        <f>IF(AND(B439&gt;=0.8,B439&lt;=1.5),1,IF(AND(B439&gt;=0.5,B439&lt;=2),0.5,0))</f>
        <v>0</v>
      </c>
      <c r="M439">
        <f>IF(AND(C439&gt;=0.5,C439&lt;=2),1,IF(AND(C439&gt;=0.1,C439&lt;=5),0.5,0))</f>
        <v>0</v>
      </c>
      <c r="N439">
        <f>IF(AND(G439&gt;=4,G439&lt;=7),1,IF(AND(G439&gt;=3,G439&lt;=8),0.5,0))</f>
        <v>0</v>
      </c>
      <c r="O439">
        <f>IF(AND(F439&gt;=270,F439&lt;=310),1,IF(AND(F439&gt;=250,F439&lt;=330),0.5,0))</f>
        <v>0</v>
      </c>
      <c r="P439">
        <f>IF(AND(E439&gt;=0.8,E439&lt;=1.5),1,IF(AND(E439&gt;=0.5,E439&lt;=2),0.5,0))</f>
        <v>0</v>
      </c>
      <c r="Q439">
        <f>IF(AND(H439&gt;=5000,H439&lt;=6000),1,IF(AND(H439&gt;=4000,H439&lt;5000),0.5,0))</f>
        <v>1</v>
      </c>
      <c r="R439">
        <f>0.35*AVERAGE(L439:M439:N439)+0.3*O439+0.2*P439+0.15*Q439</f>
        <v>0.15</v>
      </c>
      <c r="S439" t="str">
        <f>LEFT(K439,1)</f>
        <v/>
      </c>
      <c r="T439">
        <f>IF(S439="G",1,0)</f>
        <v>0</v>
      </c>
      <c r="U439">
        <f>IF(S439="K",1,0)</f>
        <v>0</v>
      </c>
      <c r="V439">
        <f>IF(S439="M",1,0)</f>
        <v>0</v>
      </c>
      <c r="W439">
        <f>IF(S439="F",1,0)</f>
        <v>0</v>
      </c>
    </row>
    <row r="440" spans="1:23" x14ac:dyDescent="0.3">
      <c r="A440" t="s">
        <v>309</v>
      </c>
      <c r="B440">
        <v>12.554058380000001</v>
      </c>
      <c r="C440">
        <v>953.48522100000002</v>
      </c>
      <c r="D440">
        <v>3.1228319999999998</v>
      </c>
      <c r="E440">
        <v>3.8399999999999997E-2</v>
      </c>
      <c r="F440">
        <v>1001</v>
      </c>
      <c r="G440">
        <f>IF(OR(C440="",B440="",B440=0),"",5.51*(C440/(B440^3)))</f>
        <v>2.6552971723752083</v>
      </c>
      <c r="H440">
        <v>4672</v>
      </c>
      <c r="I440">
        <v>0.24690413935147082</v>
      </c>
      <c r="J440">
        <v>-0.04</v>
      </c>
      <c r="K440" t="s">
        <v>4</v>
      </c>
      <c r="L440">
        <f>IF(AND(B440&gt;=0.8,B440&lt;=1.5),1,IF(AND(B440&gt;=0.5,B440&lt;=2),0.5,0))</f>
        <v>0</v>
      </c>
      <c r="M440">
        <f>IF(AND(C440&gt;=0.5,C440&lt;=2),1,IF(AND(C440&gt;=0.1,C440&lt;=5),0.5,0))</f>
        <v>0</v>
      </c>
      <c r="N440">
        <f>IF(AND(G440&gt;=4,G440&lt;=7),1,IF(AND(G440&gt;=3,G440&lt;=8),0.5,0))</f>
        <v>0</v>
      </c>
      <c r="O440">
        <f>IF(AND(F440&gt;=270,F440&lt;=310),1,IF(AND(F440&gt;=250,F440&lt;=330),0.5,0))</f>
        <v>0</v>
      </c>
      <c r="P440">
        <f>IF(AND(E440&gt;=0.8,E440&lt;=1.5),1,IF(AND(E440&gt;=0.5,E440&lt;=2),0.5,0))</f>
        <v>0</v>
      </c>
      <c r="Q440">
        <f>IF(AND(H440&gt;=5000,H440&lt;=6000),1,IF(AND(H440&gt;=4000,H440&lt;5000),0.5,0))</f>
        <v>0.5</v>
      </c>
      <c r="R440">
        <f>0.35*AVERAGE(L440:M440:N440)+0.3*O440+0.2*P440+0.15*Q440</f>
        <v>7.4999999999999997E-2</v>
      </c>
      <c r="S440" t="str">
        <f>LEFT(K440,1)</f>
        <v>K</v>
      </c>
      <c r="T440">
        <f>IF(S440="G",1,0)</f>
        <v>0</v>
      </c>
      <c r="U440">
        <f>IF(S440="K",1,0)</f>
        <v>1</v>
      </c>
      <c r="V440">
        <f>IF(S440="M",1,0)</f>
        <v>0</v>
      </c>
      <c r="W440">
        <f>IF(S440="F",1,0)</f>
        <v>0</v>
      </c>
    </row>
    <row r="441" spans="1:23" x14ac:dyDescent="0.3">
      <c r="A441" t="s">
        <v>308</v>
      </c>
      <c r="B441">
        <v>13.753419320000001</v>
      </c>
      <c r="C441">
        <v>1058.36859531</v>
      </c>
      <c r="D441">
        <v>3.0078119999999999</v>
      </c>
      <c r="E441">
        <v>4.3400000000000001E-2</v>
      </c>
      <c r="F441">
        <v>1726</v>
      </c>
      <c r="G441">
        <f>IF(OR(C441="",B441="",B441=0),"",5.51*(C441/(B441^3)))</f>
        <v>2.2415916030366603</v>
      </c>
      <c r="H441">
        <v>6000</v>
      </c>
      <c r="I441">
        <v>2.7755676627613837</v>
      </c>
      <c r="J441">
        <v>8.4000000000000005E-2</v>
      </c>
      <c r="L441">
        <f>IF(AND(B441&gt;=0.8,B441&lt;=1.5),1,IF(AND(B441&gt;=0.5,B441&lt;=2),0.5,0))</f>
        <v>0</v>
      </c>
      <c r="M441">
        <f>IF(AND(C441&gt;=0.5,C441&lt;=2),1,IF(AND(C441&gt;=0.1,C441&lt;=5),0.5,0))</f>
        <v>0</v>
      </c>
      <c r="N441">
        <f>IF(AND(G441&gt;=4,G441&lt;=7),1,IF(AND(G441&gt;=3,G441&lt;=8),0.5,0))</f>
        <v>0</v>
      </c>
      <c r="O441">
        <f>IF(AND(F441&gt;=270,F441&lt;=310),1,IF(AND(F441&gt;=250,F441&lt;=330),0.5,0))</f>
        <v>0</v>
      </c>
      <c r="P441">
        <f>IF(AND(E441&gt;=0.8,E441&lt;=1.5),1,IF(AND(E441&gt;=0.5,E441&lt;=2),0.5,0))</f>
        <v>0</v>
      </c>
      <c r="Q441">
        <f>IF(AND(H441&gt;=5000,H441&lt;=6000),1,IF(AND(H441&gt;=4000,H441&lt;5000),0.5,0))</f>
        <v>1</v>
      </c>
      <c r="R441">
        <f>0.35*AVERAGE(L441:M441:N441)+0.3*O441+0.2*P441+0.15*Q441</f>
        <v>0.15</v>
      </c>
      <c r="S441" t="str">
        <f>LEFT(K441,1)</f>
        <v/>
      </c>
      <c r="T441">
        <f>IF(S441="G",1,0)</f>
        <v>0</v>
      </c>
      <c r="U441">
        <f>IF(S441="K",1,0)</f>
        <v>0</v>
      </c>
      <c r="V441">
        <f>IF(S441="M",1,0)</f>
        <v>0</v>
      </c>
      <c r="W441">
        <f>IF(S441="F",1,0)</f>
        <v>0</v>
      </c>
    </row>
    <row r="442" spans="1:23" x14ac:dyDescent="0.3">
      <c r="A442" t="s">
        <v>307</v>
      </c>
      <c r="B442">
        <v>16.432365709999999</v>
      </c>
      <c r="C442">
        <v>197.05361234</v>
      </c>
      <c r="D442">
        <v>3.9014970999999998</v>
      </c>
      <c r="E442">
        <v>5.0500000000000003E-2</v>
      </c>
      <c r="F442">
        <v>1596</v>
      </c>
      <c r="G442">
        <f>IF(OR(C442="",B442="",B442=0),"",5.51*(C442/(B442^3)))</f>
        <v>0.24470098872757365</v>
      </c>
      <c r="H442">
        <v>5760</v>
      </c>
      <c r="I442">
        <v>2.747716212668192</v>
      </c>
      <c r="J442">
        <v>8.5000000000000006E-2</v>
      </c>
      <c r="L442">
        <f>IF(AND(B442&gt;=0.8,B442&lt;=1.5),1,IF(AND(B442&gt;=0.5,B442&lt;=2),0.5,0))</f>
        <v>0</v>
      </c>
      <c r="M442">
        <f>IF(AND(C442&gt;=0.5,C442&lt;=2),1,IF(AND(C442&gt;=0.1,C442&lt;=5),0.5,0))</f>
        <v>0</v>
      </c>
      <c r="N442">
        <f>IF(AND(G442&gt;=4,G442&lt;=7),1,IF(AND(G442&gt;=3,G442&lt;=8),0.5,0))</f>
        <v>0</v>
      </c>
      <c r="O442">
        <f>IF(AND(F442&gt;=270,F442&lt;=310),1,IF(AND(F442&gt;=250,F442&lt;=330),0.5,0))</f>
        <v>0</v>
      </c>
      <c r="P442">
        <f>IF(AND(E442&gt;=0.8,E442&lt;=1.5),1,IF(AND(E442&gt;=0.5,E442&lt;=2),0.5,0))</f>
        <v>0</v>
      </c>
      <c r="Q442">
        <f>IF(AND(H442&gt;=5000,H442&lt;=6000),1,IF(AND(H442&gt;=4000,H442&lt;5000),0.5,0))</f>
        <v>1</v>
      </c>
      <c r="R442">
        <f>0.35*AVERAGE(L442:M442:N442)+0.3*O442+0.2*P442+0.15*Q442</f>
        <v>0.15</v>
      </c>
      <c r="S442" t="str">
        <f>LEFT(K442,1)</f>
        <v/>
      </c>
      <c r="T442">
        <f>IF(S442="G",1,0)</f>
        <v>0</v>
      </c>
      <c r="U442">
        <f>IF(S442="K",1,0)</f>
        <v>0</v>
      </c>
      <c r="V442">
        <f>IF(S442="M",1,0)</f>
        <v>0</v>
      </c>
      <c r="W442">
        <f>IF(S442="F",1,0)</f>
        <v>0</v>
      </c>
    </row>
    <row r="443" spans="1:23" x14ac:dyDescent="0.3">
      <c r="A443" t="s">
        <v>306</v>
      </c>
      <c r="B443">
        <v>7.16</v>
      </c>
      <c r="C443">
        <v>68.2</v>
      </c>
      <c r="D443">
        <v>1.2669379999999999</v>
      </c>
      <c r="E443">
        <v>2.4899999999999999E-2</v>
      </c>
      <c r="F443">
        <v>2155</v>
      </c>
      <c r="G443">
        <f>IF(OR(C443="",B443="",B443=0),"",5.51*(C443/(B443^3)))</f>
        <v>1.0237570525473734</v>
      </c>
      <c r="H443">
        <v>6177</v>
      </c>
      <c r="I443">
        <v>2.2415211788940597</v>
      </c>
      <c r="J443">
        <v>0.35</v>
      </c>
      <c r="L443">
        <f>IF(AND(B443&gt;=0.8,B443&lt;=1.5),1,IF(AND(B443&gt;=0.5,B443&lt;=2),0.5,0))</f>
        <v>0</v>
      </c>
      <c r="M443">
        <f>IF(AND(C443&gt;=0.5,C443&lt;=2),1,IF(AND(C443&gt;=0.1,C443&lt;=5),0.5,0))</f>
        <v>0</v>
      </c>
      <c r="N443">
        <f>IF(AND(G443&gt;=4,G443&lt;=7),1,IF(AND(G443&gt;=3,G443&lt;=8),0.5,0))</f>
        <v>0</v>
      </c>
      <c r="O443">
        <f>IF(AND(F443&gt;=270,F443&lt;=310),1,IF(AND(F443&gt;=250,F443&lt;=330),0.5,0))</f>
        <v>0</v>
      </c>
      <c r="P443">
        <f>IF(AND(E443&gt;=0.8,E443&lt;=1.5),1,IF(AND(E443&gt;=0.5,E443&lt;=2),0.5,0))</f>
        <v>0</v>
      </c>
      <c r="Q443">
        <f>IF(AND(H443&gt;=5000,H443&lt;=6000),1,IF(AND(H443&gt;=4000,H443&lt;5000),0.5,0))</f>
        <v>0</v>
      </c>
      <c r="R443">
        <f>0.35*AVERAGE(L443:M443:N443)+0.3*O443+0.2*P443+0.15*Q443</f>
        <v>0</v>
      </c>
      <c r="S443" t="str">
        <f>LEFT(K443,1)</f>
        <v/>
      </c>
      <c r="T443">
        <f>IF(S443="G",1,0)</f>
        <v>0</v>
      </c>
      <c r="U443">
        <f>IF(S443="K",1,0)</f>
        <v>0</v>
      </c>
      <c r="V443">
        <f>IF(S443="M",1,0)</f>
        <v>0</v>
      </c>
      <c r="W443">
        <f>IF(S443="F",1,0)</f>
        <v>0</v>
      </c>
    </row>
    <row r="444" spans="1:23" x14ac:dyDescent="0.3">
      <c r="A444" t="s">
        <v>305</v>
      </c>
      <c r="B444">
        <v>3.6621000000000001</v>
      </c>
      <c r="D444">
        <v>1.9269069999999999</v>
      </c>
      <c r="F444">
        <v>1032.78</v>
      </c>
      <c r="G444" t="str">
        <f>IF(OR(C444="",B444="",B444=0),"",5.51*(C444/(B444^3)))</f>
        <v/>
      </c>
      <c r="H444">
        <v>4263</v>
      </c>
      <c r="I444">
        <v>0.13891586140592779</v>
      </c>
      <c r="J444">
        <v>0.17</v>
      </c>
      <c r="L444">
        <f>IF(AND(B444&gt;=0.8,B444&lt;=1.5),1,IF(AND(B444&gt;=0.5,B444&lt;=2),0.5,0))</f>
        <v>0</v>
      </c>
      <c r="M444">
        <f>IF(AND(C444&gt;=0.5,C444&lt;=2),1,IF(AND(C444&gt;=0.1,C444&lt;=5),0.5,0))</f>
        <v>0</v>
      </c>
      <c r="N444">
        <f>IF(AND(G444&gt;=4,G444&lt;=7),1,IF(AND(G444&gt;=3,G444&lt;=8),0.5,0))</f>
        <v>0</v>
      </c>
      <c r="O444">
        <f>IF(AND(F444&gt;=270,F444&lt;=310),1,IF(AND(F444&gt;=250,F444&lt;=330),0.5,0))</f>
        <v>0</v>
      </c>
      <c r="P444">
        <f>IF(AND(E444&gt;=0.8,E444&lt;=1.5),1,IF(AND(E444&gt;=0.5,E444&lt;=2),0.5,0))</f>
        <v>0</v>
      </c>
      <c r="Q444">
        <f>IF(AND(H444&gt;=5000,H444&lt;=6000),1,IF(AND(H444&gt;=4000,H444&lt;5000),0.5,0))</f>
        <v>0.5</v>
      </c>
      <c r="R444">
        <f>0.35*AVERAGE(L444:M444:N444)+0.3*O444+0.2*P444+0.15*Q444</f>
        <v>7.4999999999999997E-2</v>
      </c>
      <c r="S444" t="str">
        <f>LEFT(K444,1)</f>
        <v/>
      </c>
      <c r="T444">
        <f>IF(S444="G",1,0)</f>
        <v>0</v>
      </c>
      <c r="U444">
        <f>IF(S444="K",1,0)</f>
        <v>0</v>
      </c>
      <c r="V444">
        <f>IF(S444="M",1,0)</f>
        <v>0</v>
      </c>
      <c r="W444">
        <f>IF(S444="F",1,0)</f>
        <v>0</v>
      </c>
    </row>
    <row r="445" spans="1:23" x14ac:dyDescent="0.3">
      <c r="A445" t="s">
        <v>304</v>
      </c>
      <c r="B445">
        <v>13.65253849</v>
      </c>
      <c r="C445">
        <v>327.36325921000002</v>
      </c>
      <c r="D445">
        <v>3.7065584999999999</v>
      </c>
      <c r="E445">
        <v>4.7559999999999998E-2</v>
      </c>
      <c r="F445">
        <v>1292</v>
      </c>
      <c r="G445">
        <f>IF(OR(C445="",B445="",B445=0),"",5.51*(C445/(B445^3)))</f>
        <v>0.70882872023631105</v>
      </c>
      <c r="H445">
        <v>5890</v>
      </c>
      <c r="I445">
        <v>1.0476675443082859</v>
      </c>
      <c r="J445">
        <v>7.0999999999999994E-2</v>
      </c>
      <c r="L445">
        <f>IF(AND(B445&gt;=0.8,B445&lt;=1.5),1,IF(AND(B445&gt;=0.5,B445&lt;=2),0.5,0))</f>
        <v>0</v>
      </c>
      <c r="M445">
        <f>IF(AND(C445&gt;=0.5,C445&lt;=2),1,IF(AND(C445&gt;=0.1,C445&lt;=5),0.5,0))</f>
        <v>0</v>
      </c>
      <c r="N445">
        <f>IF(AND(G445&gt;=4,G445&lt;=7),1,IF(AND(G445&gt;=3,G445&lt;=8),0.5,0))</f>
        <v>0</v>
      </c>
      <c r="O445">
        <f>IF(AND(F445&gt;=270,F445&lt;=310),1,IF(AND(F445&gt;=250,F445&lt;=330),0.5,0))</f>
        <v>0</v>
      </c>
      <c r="P445">
        <f>IF(AND(E445&gt;=0.8,E445&lt;=1.5),1,IF(AND(E445&gt;=0.5,E445&lt;=2),0.5,0))</f>
        <v>0</v>
      </c>
      <c r="Q445">
        <f>IF(AND(H445&gt;=5000,H445&lt;=6000),1,IF(AND(H445&gt;=4000,H445&lt;5000),0.5,0))</f>
        <v>1</v>
      </c>
      <c r="R445">
        <f>0.35*AVERAGE(L445:M445:N445)+0.3*O445+0.2*P445+0.15*Q445</f>
        <v>0.15</v>
      </c>
      <c r="S445" t="str">
        <f>LEFT(K445,1)</f>
        <v/>
      </c>
      <c r="T445">
        <f>IF(S445="G",1,0)</f>
        <v>0</v>
      </c>
      <c r="U445">
        <f>IF(S445="K",1,0)</f>
        <v>0</v>
      </c>
      <c r="V445">
        <f>IF(S445="M",1,0)</f>
        <v>0</v>
      </c>
      <c r="W445">
        <f>IF(S445="F",1,0)</f>
        <v>0</v>
      </c>
    </row>
    <row r="446" spans="1:23" x14ac:dyDescent="0.3">
      <c r="A446" t="s">
        <v>303</v>
      </c>
      <c r="B446">
        <v>13.7646283</v>
      </c>
      <c r="C446">
        <v>378.21580433000003</v>
      </c>
      <c r="D446">
        <v>3.9712809999999998</v>
      </c>
      <c r="E446">
        <v>5.0500000000000003E-2</v>
      </c>
      <c r="F446">
        <v>1539</v>
      </c>
      <c r="G446">
        <f>IF(OR(C446="",B446="",B446=0),"",5.51*(C446/(B446^3)))</f>
        <v>0.79909388412911031</v>
      </c>
      <c r="H446">
        <v>6190</v>
      </c>
      <c r="I446">
        <v>2.3863962935335392</v>
      </c>
      <c r="J446">
        <v>-0.114</v>
      </c>
      <c r="L446">
        <f>IF(AND(B446&gt;=0.8,B446&lt;=1.5),1,IF(AND(B446&gt;=0.5,B446&lt;=2),0.5,0))</f>
        <v>0</v>
      </c>
      <c r="M446">
        <f>IF(AND(C446&gt;=0.5,C446&lt;=2),1,IF(AND(C446&gt;=0.1,C446&lt;=5),0.5,0))</f>
        <v>0</v>
      </c>
      <c r="N446">
        <f>IF(AND(G446&gt;=4,G446&lt;=7),1,IF(AND(G446&gt;=3,G446&lt;=8),0.5,0))</f>
        <v>0</v>
      </c>
      <c r="O446">
        <f>IF(AND(F446&gt;=270,F446&lt;=310),1,IF(AND(F446&gt;=250,F446&lt;=330),0.5,0))</f>
        <v>0</v>
      </c>
      <c r="P446">
        <f>IF(AND(E446&gt;=0.8,E446&lt;=1.5),1,IF(AND(E446&gt;=0.5,E446&lt;=2),0.5,0))</f>
        <v>0</v>
      </c>
      <c r="Q446">
        <f>IF(AND(H446&gt;=5000,H446&lt;=6000),1,IF(AND(H446&gt;=4000,H446&lt;5000),0.5,0))</f>
        <v>0</v>
      </c>
      <c r="R446">
        <f>0.35*AVERAGE(L446:M446:N446)+0.3*O446+0.2*P446+0.15*Q446</f>
        <v>0</v>
      </c>
      <c r="S446" t="str">
        <f>LEFT(K446,1)</f>
        <v/>
      </c>
      <c r="T446">
        <f>IF(S446="G",1,0)</f>
        <v>0</v>
      </c>
      <c r="U446">
        <f>IF(S446="K",1,0)</f>
        <v>0</v>
      </c>
      <c r="V446">
        <f>IF(S446="M",1,0)</f>
        <v>0</v>
      </c>
      <c r="W446">
        <f>IF(S446="F",1,0)</f>
        <v>0</v>
      </c>
    </row>
    <row r="447" spans="1:23" x14ac:dyDescent="0.3">
      <c r="A447" t="s">
        <v>302</v>
      </c>
      <c r="B447">
        <v>11.39953337</v>
      </c>
      <c r="C447">
        <v>211.35589064999999</v>
      </c>
      <c r="D447">
        <v>2.59261842</v>
      </c>
      <c r="E447">
        <v>2.7089999999999999E-2</v>
      </c>
      <c r="F447">
        <v>604</v>
      </c>
      <c r="G447">
        <f>IF(OR(C447="",B447="",B447=0),"",5.51*(C447/(B447^3)))</f>
        <v>0.78614875794334216</v>
      </c>
      <c r="H447">
        <v>3388.8</v>
      </c>
      <c r="I447">
        <v>1.6172326655836677E-2</v>
      </c>
      <c r="J447">
        <v>0.26400000000000001</v>
      </c>
      <c r="K447" t="s">
        <v>146</v>
      </c>
      <c r="L447">
        <f>IF(AND(B447&gt;=0.8,B447&lt;=1.5),1,IF(AND(B447&gt;=0.5,B447&lt;=2),0.5,0))</f>
        <v>0</v>
      </c>
      <c r="M447">
        <f>IF(AND(C447&gt;=0.5,C447&lt;=2),1,IF(AND(C447&gt;=0.1,C447&lt;=5),0.5,0))</f>
        <v>0</v>
      </c>
      <c r="N447">
        <f>IF(AND(G447&gt;=4,G447&lt;=7),1,IF(AND(G447&gt;=3,G447&lt;=8),0.5,0))</f>
        <v>0</v>
      </c>
      <c r="O447">
        <f>IF(AND(F447&gt;=270,F447&lt;=310),1,IF(AND(F447&gt;=250,F447&lt;=330),0.5,0))</f>
        <v>0</v>
      </c>
      <c r="P447">
        <f>IF(AND(E447&gt;=0.8,E447&lt;=1.5),1,IF(AND(E447&gt;=0.5,E447&lt;=2),0.5,0))</f>
        <v>0</v>
      </c>
      <c r="Q447">
        <f>IF(AND(H447&gt;=5000,H447&lt;=6000),1,IF(AND(H447&gt;=4000,H447&lt;5000),0.5,0))</f>
        <v>0</v>
      </c>
      <c r="R447">
        <f>0.35*AVERAGE(L447:M447:N447)+0.3*O447+0.2*P447+0.15*Q447</f>
        <v>0</v>
      </c>
      <c r="S447" t="str">
        <f>LEFT(K447,1)</f>
        <v>M</v>
      </c>
      <c r="T447">
        <f>IF(S447="G",1,0)</f>
        <v>0</v>
      </c>
      <c r="U447">
        <f>IF(S447="K",1,0)</f>
        <v>0</v>
      </c>
      <c r="V447">
        <f>IF(S447="M",1,0)</f>
        <v>1</v>
      </c>
      <c r="W447">
        <f>IF(S447="F",1,0)</f>
        <v>0</v>
      </c>
    </row>
    <row r="448" spans="1:23" x14ac:dyDescent="0.3">
      <c r="A448" t="s">
        <v>301</v>
      </c>
      <c r="B448">
        <v>3.82</v>
      </c>
      <c r="C448">
        <v>30.3</v>
      </c>
      <c r="D448">
        <v>0.8831331</v>
      </c>
      <c r="E448">
        <v>1.7139999999999999E-2</v>
      </c>
      <c r="F448">
        <v>1722</v>
      </c>
      <c r="G448">
        <f>IF(OR(C448="",B448="",B448=0),"",5.51*(C448/(B448^3)))</f>
        <v>2.995050425015044</v>
      </c>
      <c r="H448">
        <v>5068</v>
      </c>
      <c r="I448">
        <v>0.42663025949659861</v>
      </c>
      <c r="J448">
        <v>0.13800000000000001</v>
      </c>
      <c r="K448" t="s">
        <v>300</v>
      </c>
      <c r="L448">
        <f>IF(AND(B448&gt;=0.8,B448&lt;=1.5),1,IF(AND(B448&gt;=0.5,B448&lt;=2),0.5,0))</f>
        <v>0</v>
      </c>
      <c r="M448">
        <f>IF(AND(C448&gt;=0.5,C448&lt;=2),1,IF(AND(C448&gt;=0.1,C448&lt;=5),0.5,0))</f>
        <v>0</v>
      </c>
      <c r="N448">
        <f>IF(AND(G448&gt;=4,G448&lt;=7),1,IF(AND(G448&gt;=3,G448&lt;=8),0.5,0))</f>
        <v>0</v>
      </c>
      <c r="O448">
        <f>IF(AND(F448&gt;=270,F448&lt;=310),1,IF(AND(F448&gt;=250,F448&lt;=330),0.5,0))</f>
        <v>0</v>
      </c>
      <c r="P448">
        <f>IF(AND(E448&gt;=0.8,E448&lt;=1.5),1,IF(AND(E448&gt;=0.5,E448&lt;=2),0.5,0))</f>
        <v>0</v>
      </c>
      <c r="Q448">
        <f>IF(AND(H448&gt;=5000,H448&lt;=6000),1,IF(AND(H448&gt;=4000,H448&lt;5000),0.5,0))</f>
        <v>1</v>
      </c>
      <c r="R448">
        <f>0.35*AVERAGE(L448:M448:N448)+0.3*O448+0.2*P448+0.15*Q448</f>
        <v>0.15</v>
      </c>
      <c r="S448" t="str">
        <f>LEFT(K448,1)</f>
        <v>K</v>
      </c>
      <c r="T448">
        <f>IF(S448="G",1,0)</f>
        <v>0</v>
      </c>
      <c r="U448">
        <f>IF(S448="K",1,0)</f>
        <v>1</v>
      </c>
      <c r="V448">
        <f>IF(S448="M",1,0)</f>
        <v>0</v>
      </c>
      <c r="W448">
        <f>IF(S448="F",1,0)</f>
        <v>0</v>
      </c>
    </row>
    <row r="449" spans="1:23" x14ac:dyDescent="0.3">
      <c r="A449" t="s">
        <v>299</v>
      </c>
      <c r="B449">
        <v>4.9405781900000001</v>
      </c>
      <c r="C449">
        <v>40.4</v>
      </c>
      <c r="D449">
        <v>5.7043900000000001</v>
      </c>
      <c r="E449">
        <v>6.3799999999999996E-2</v>
      </c>
      <c r="F449">
        <v>1213.02</v>
      </c>
      <c r="G449">
        <f>IF(OR(C449="",B449="",B449=0),"",5.51*(C449/(B449^3)))</f>
        <v>1.8458637175611801</v>
      </c>
      <c r="H449">
        <v>5614</v>
      </c>
      <c r="I449">
        <v>2.0933272435820749</v>
      </c>
      <c r="J449">
        <v>0.20499999999999999</v>
      </c>
      <c r="L449">
        <f>IF(AND(B449&gt;=0.8,B449&lt;=1.5),1,IF(AND(B449&gt;=0.5,B449&lt;=2),0.5,0))</f>
        <v>0</v>
      </c>
      <c r="M449">
        <f>IF(AND(C449&gt;=0.5,C449&lt;=2),1,IF(AND(C449&gt;=0.1,C449&lt;=5),0.5,0))</f>
        <v>0</v>
      </c>
      <c r="N449">
        <f>IF(AND(G449&gt;=4,G449&lt;=7),1,IF(AND(G449&gt;=3,G449&lt;=8),0.5,0))</f>
        <v>0</v>
      </c>
      <c r="O449">
        <f>IF(AND(F449&gt;=270,F449&lt;=310),1,IF(AND(F449&gt;=250,F449&lt;=330),0.5,0))</f>
        <v>0</v>
      </c>
      <c r="P449">
        <f>IF(AND(E449&gt;=0.8,E449&lt;=1.5),1,IF(AND(E449&gt;=0.5,E449&lt;=2),0.5,0))</f>
        <v>0</v>
      </c>
      <c r="Q449">
        <f>IF(AND(H449&gt;=5000,H449&lt;=6000),1,IF(AND(H449&gt;=4000,H449&lt;5000),0.5,0))</f>
        <v>1</v>
      </c>
      <c r="R449">
        <f>0.35*AVERAGE(L449:M449:N449)+0.3*O449+0.2*P449+0.15*Q449</f>
        <v>0.15</v>
      </c>
      <c r="S449" t="str">
        <f>LEFT(K449,1)</f>
        <v/>
      </c>
      <c r="T449">
        <f>IF(S449="G",1,0)</f>
        <v>0</v>
      </c>
      <c r="U449">
        <f>IF(S449="K",1,0)</f>
        <v>0</v>
      </c>
      <c r="V449">
        <f>IF(S449="M",1,0)</f>
        <v>0</v>
      </c>
      <c r="W449">
        <f>IF(S449="F",1,0)</f>
        <v>0</v>
      </c>
    </row>
    <row r="450" spans="1:23" x14ac:dyDescent="0.3">
      <c r="A450" t="s">
        <v>298</v>
      </c>
      <c r="B450">
        <v>3.2</v>
      </c>
      <c r="C450">
        <v>57.2</v>
      </c>
      <c r="D450">
        <v>0.77703800000000001</v>
      </c>
      <c r="E450">
        <v>1.5900000000000001E-2</v>
      </c>
      <c r="F450">
        <v>1871</v>
      </c>
      <c r="G450">
        <f>IF(OR(C450="",B450="",B450=0),"",5.51*(C450/(B450^3)))</f>
        <v>9.6182861328124982</v>
      </c>
      <c r="H450">
        <v>5251</v>
      </c>
      <c r="I450">
        <v>0.51629322767341601</v>
      </c>
      <c r="J450">
        <v>0.25600000000000001</v>
      </c>
      <c r="K450" t="s">
        <v>49</v>
      </c>
      <c r="L450">
        <f>IF(AND(B450&gt;=0.8,B450&lt;=1.5),1,IF(AND(B450&gt;=0.5,B450&lt;=2),0.5,0))</f>
        <v>0</v>
      </c>
      <c r="M450">
        <f>IF(AND(C450&gt;=0.5,C450&lt;=2),1,IF(AND(C450&gt;=0.1,C450&lt;=5),0.5,0))</f>
        <v>0</v>
      </c>
      <c r="N450">
        <f>IF(AND(G450&gt;=4,G450&lt;=7),1,IF(AND(G450&gt;=3,G450&lt;=8),0.5,0))</f>
        <v>0</v>
      </c>
      <c r="O450">
        <f>IF(AND(F450&gt;=270,F450&lt;=310),1,IF(AND(F450&gt;=250,F450&lt;=330),0.5,0))</f>
        <v>0</v>
      </c>
      <c r="P450">
        <f>IF(AND(E450&gt;=0.8,E450&lt;=1.5),1,IF(AND(E450&gt;=0.5,E450&lt;=2),0.5,0))</f>
        <v>0</v>
      </c>
      <c r="Q450">
        <f>IF(AND(H450&gt;=5000,H450&lt;=6000),1,IF(AND(H450&gt;=4000,H450&lt;5000),0.5,0))</f>
        <v>1</v>
      </c>
      <c r="R450">
        <f>0.35*AVERAGE(L450:M450:N450)+0.3*O450+0.2*P450+0.15*Q450</f>
        <v>0.15</v>
      </c>
      <c r="S450" t="str">
        <f>LEFT(K450,1)</f>
        <v>K</v>
      </c>
      <c r="T450">
        <f>IF(S450="G",1,0)</f>
        <v>0</v>
      </c>
      <c r="U450">
        <f>IF(S450="K",1,0)</f>
        <v>1</v>
      </c>
      <c r="V450">
        <f>IF(S450="M",1,0)</f>
        <v>0</v>
      </c>
      <c r="W450">
        <f>IF(S450="F",1,0)</f>
        <v>0</v>
      </c>
    </row>
    <row r="451" spans="1:23" x14ac:dyDescent="0.3">
      <c r="A451" t="s">
        <v>297</v>
      </c>
      <c r="B451">
        <v>15.558065210000001</v>
      </c>
      <c r="C451">
        <v>176.07693748</v>
      </c>
      <c r="D451">
        <v>3.6525145000000001</v>
      </c>
      <c r="E451">
        <v>4.7E-2</v>
      </c>
      <c r="F451">
        <v>1616</v>
      </c>
      <c r="G451">
        <f>IF(OR(C451="",B451="",B451=0),"",5.51*(C451/(B451^3)))</f>
        <v>0.25762458925888343</v>
      </c>
      <c r="H451">
        <v>5850</v>
      </c>
      <c r="I451">
        <v>2.5212513851299123</v>
      </c>
      <c r="J451">
        <v>-0.10299999999999999</v>
      </c>
      <c r="L451">
        <f>IF(AND(B451&gt;=0.8,B451&lt;=1.5),1,IF(AND(B451&gt;=0.5,B451&lt;=2),0.5,0))</f>
        <v>0</v>
      </c>
      <c r="M451">
        <f>IF(AND(C451&gt;=0.5,C451&lt;=2),1,IF(AND(C451&gt;=0.1,C451&lt;=5),0.5,0))</f>
        <v>0</v>
      </c>
      <c r="N451">
        <f>IF(AND(G451&gt;=4,G451&lt;=7),1,IF(AND(G451&gt;=3,G451&lt;=8),0.5,0))</f>
        <v>0</v>
      </c>
      <c r="O451">
        <f>IF(AND(F451&gt;=270,F451&lt;=310),1,IF(AND(F451&gt;=250,F451&lt;=330),0.5,0))</f>
        <v>0</v>
      </c>
      <c r="P451">
        <f>IF(AND(E451&gt;=0.8,E451&lt;=1.5),1,IF(AND(E451&gt;=0.5,E451&lt;=2),0.5,0))</f>
        <v>0</v>
      </c>
      <c r="Q451">
        <f>IF(AND(H451&gt;=5000,H451&lt;=6000),1,IF(AND(H451&gt;=4000,H451&lt;5000),0.5,0))</f>
        <v>1</v>
      </c>
      <c r="R451">
        <f>0.35*AVERAGE(L451:M451:N451)+0.3*O451+0.2*P451+0.15*Q451</f>
        <v>0.15</v>
      </c>
      <c r="S451" t="str">
        <f>LEFT(K451,1)</f>
        <v/>
      </c>
      <c r="T451">
        <f>IF(S451="G",1,0)</f>
        <v>0</v>
      </c>
      <c r="U451">
        <f>IF(S451="K",1,0)</f>
        <v>0</v>
      </c>
      <c r="V451">
        <f>IF(S451="M",1,0)</f>
        <v>0</v>
      </c>
      <c r="W451">
        <f>IF(S451="F",1,0)</f>
        <v>0</v>
      </c>
    </row>
    <row r="452" spans="1:23" x14ac:dyDescent="0.3">
      <c r="A452" t="s">
        <v>296</v>
      </c>
      <c r="B452">
        <v>4.26</v>
      </c>
      <c r="C452">
        <v>20.100000000000001</v>
      </c>
      <c r="D452">
        <v>3.7852503</v>
      </c>
      <c r="E452">
        <v>4.9000000000000002E-2</v>
      </c>
      <c r="F452">
        <v>1445</v>
      </c>
      <c r="G452">
        <f>IF(OR(C452="",B452="",B452=0),"",5.51*(C452/(B452^3)))</f>
        <v>1.4325799182229975</v>
      </c>
      <c r="H452">
        <v>6241</v>
      </c>
      <c r="I452">
        <v>1.6469937480733157</v>
      </c>
      <c r="J452">
        <v>0.01</v>
      </c>
      <c r="L452">
        <f>IF(AND(B452&gt;=0.8,B452&lt;=1.5),1,IF(AND(B452&gt;=0.5,B452&lt;=2),0.5,0))</f>
        <v>0</v>
      </c>
      <c r="M452">
        <f>IF(AND(C452&gt;=0.5,C452&lt;=2),1,IF(AND(C452&gt;=0.1,C452&lt;=5),0.5,0))</f>
        <v>0</v>
      </c>
      <c r="N452">
        <f>IF(AND(G452&gt;=4,G452&lt;=7),1,IF(AND(G452&gt;=3,G452&lt;=8),0.5,0))</f>
        <v>0</v>
      </c>
      <c r="O452">
        <f>IF(AND(F452&gt;=270,F452&lt;=310),1,IF(AND(F452&gt;=250,F452&lt;=330),0.5,0))</f>
        <v>0</v>
      </c>
      <c r="P452">
        <f>IF(AND(E452&gt;=0.8,E452&lt;=1.5),1,IF(AND(E452&gt;=0.5,E452&lt;=2),0.5,0))</f>
        <v>0</v>
      </c>
      <c r="Q452">
        <f>IF(AND(H452&gt;=5000,H452&lt;=6000),1,IF(AND(H452&gt;=4000,H452&lt;5000),0.5,0))</f>
        <v>0</v>
      </c>
      <c r="R452">
        <f>0.35*AVERAGE(L452:M452:N452)+0.3*O452+0.2*P452+0.15*Q452</f>
        <v>0</v>
      </c>
      <c r="S452" t="str">
        <f>LEFT(K452,1)</f>
        <v/>
      </c>
      <c r="T452">
        <f>IF(S452="G",1,0)</f>
        <v>0</v>
      </c>
      <c r="U452">
        <f>IF(S452="K",1,0)</f>
        <v>0</v>
      </c>
      <c r="V452">
        <f>IF(S452="M",1,0)</f>
        <v>0</v>
      </c>
      <c r="W452">
        <f>IF(S452="F",1,0)</f>
        <v>0</v>
      </c>
    </row>
    <row r="453" spans="1:23" x14ac:dyDescent="0.3">
      <c r="A453" t="s">
        <v>295</v>
      </c>
      <c r="B453">
        <v>12.97999965</v>
      </c>
      <c r="C453">
        <v>721.47048388999997</v>
      </c>
      <c r="D453">
        <v>2.0180231000000002</v>
      </c>
      <c r="E453">
        <v>3.1440000000000003E-2</v>
      </c>
      <c r="F453">
        <v>1488</v>
      </c>
      <c r="G453">
        <f>IF(OR(C453="",B453="",B453=0),"",5.51*(C453/(B453^3)))</f>
        <v>1.8178001082243389</v>
      </c>
      <c r="H453">
        <v>5609</v>
      </c>
      <c r="I453">
        <v>0.80483250265218564</v>
      </c>
      <c r="J453">
        <v>0.14799999999999999</v>
      </c>
      <c r="L453">
        <f>IF(AND(B453&gt;=0.8,B453&lt;=1.5),1,IF(AND(B453&gt;=0.5,B453&lt;=2),0.5,0))</f>
        <v>0</v>
      </c>
      <c r="M453">
        <f>IF(AND(C453&gt;=0.5,C453&lt;=2),1,IF(AND(C453&gt;=0.1,C453&lt;=5),0.5,0))</f>
        <v>0</v>
      </c>
      <c r="N453">
        <f>IF(AND(G453&gt;=4,G453&lt;=7),1,IF(AND(G453&gt;=3,G453&lt;=8),0.5,0))</f>
        <v>0</v>
      </c>
      <c r="O453">
        <f>IF(AND(F453&gt;=270,F453&lt;=310),1,IF(AND(F453&gt;=250,F453&lt;=330),0.5,0))</f>
        <v>0</v>
      </c>
      <c r="P453">
        <f>IF(AND(E453&gt;=0.8,E453&lt;=1.5),1,IF(AND(E453&gt;=0.5,E453&lt;=2),0.5,0))</f>
        <v>0</v>
      </c>
      <c r="Q453">
        <f>IF(AND(H453&gt;=5000,H453&lt;=6000),1,IF(AND(H453&gt;=4000,H453&lt;5000),0.5,0))</f>
        <v>1</v>
      </c>
      <c r="R453">
        <f>0.35*AVERAGE(L453:M453:N453)+0.3*O453+0.2*P453+0.15*Q453</f>
        <v>0.15</v>
      </c>
      <c r="S453" t="str">
        <f>LEFT(K453,1)</f>
        <v/>
      </c>
      <c r="T453">
        <f>IF(S453="G",1,0)</f>
        <v>0</v>
      </c>
      <c r="U453">
        <f>IF(S453="K",1,0)</f>
        <v>0</v>
      </c>
      <c r="V453">
        <f>IF(S453="M",1,0)</f>
        <v>0</v>
      </c>
      <c r="W453">
        <f>IF(S453="F",1,0)</f>
        <v>0</v>
      </c>
    </row>
    <row r="454" spans="1:23" x14ac:dyDescent="0.3">
      <c r="A454" t="s">
        <v>294</v>
      </c>
      <c r="B454">
        <v>2.6667554999999998</v>
      </c>
      <c r="D454">
        <v>4.6657964999999999</v>
      </c>
      <c r="E454">
        <v>6.0118218000000001E-2</v>
      </c>
      <c r="F454">
        <v>1264.3599999999999</v>
      </c>
      <c r="G454" t="str">
        <f>IF(OR(C454="",B454="",B454=0),"",5.51*(C454/(B454^3)))</f>
        <v/>
      </c>
      <c r="H454">
        <v>6365</v>
      </c>
      <c r="I454">
        <v>1.5341919917621301</v>
      </c>
      <c r="L454">
        <f>IF(AND(B454&gt;=0.8,B454&lt;=1.5),1,IF(AND(B454&gt;=0.5,B454&lt;=2),0.5,0))</f>
        <v>0</v>
      </c>
      <c r="M454">
        <f>IF(AND(C454&gt;=0.5,C454&lt;=2),1,IF(AND(C454&gt;=0.1,C454&lt;=5),0.5,0))</f>
        <v>0</v>
      </c>
      <c r="N454">
        <f>IF(AND(G454&gt;=4,G454&lt;=7),1,IF(AND(G454&gt;=3,G454&lt;=8),0.5,0))</f>
        <v>0</v>
      </c>
      <c r="O454">
        <f>IF(AND(F454&gt;=270,F454&lt;=310),1,IF(AND(F454&gt;=250,F454&lt;=330),0.5,0))</f>
        <v>0</v>
      </c>
      <c r="P454">
        <f>IF(AND(E454&gt;=0.8,E454&lt;=1.5),1,IF(AND(E454&gt;=0.5,E454&lt;=2),0.5,0))</f>
        <v>0</v>
      </c>
      <c r="Q454">
        <f>IF(AND(H454&gt;=5000,H454&lt;=6000),1,IF(AND(H454&gt;=4000,H454&lt;5000),0.5,0))</f>
        <v>0</v>
      </c>
      <c r="R454">
        <f>0.35*AVERAGE(L454:M454:N454)+0.3*O454+0.2*P454+0.15*Q454</f>
        <v>0</v>
      </c>
      <c r="S454" t="str">
        <f>LEFT(K454,1)</f>
        <v/>
      </c>
      <c r="T454">
        <f>IF(S454="G",1,0)</f>
        <v>0</v>
      </c>
      <c r="U454">
        <f>IF(S454="K",1,0)</f>
        <v>0</v>
      </c>
      <c r="V454">
        <f>IF(S454="M",1,0)</f>
        <v>0</v>
      </c>
      <c r="W454">
        <f>IF(S454="F",1,0)</f>
        <v>0</v>
      </c>
    </row>
    <row r="455" spans="1:23" x14ac:dyDescent="0.3">
      <c r="A455" t="s">
        <v>293</v>
      </c>
      <c r="B455">
        <v>12.80065596</v>
      </c>
      <c r="C455">
        <v>1598.3590588</v>
      </c>
      <c r="D455">
        <v>18.095469999999999</v>
      </c>
      <c r="E455">
        <v>0.153</v>
      </c>
      <c r="G455">
        <f>IF(OR(C455="",B455="",B455=0),"",5.51*(C455/(B455^3)))</f>
        <v>4.1988394572546319</v>
      </c>
      <c r="H455">
        <v>6532</v>
      </c>
      <c r="I455">
        <v>5.469866585753226</v>
      </c>
      <c r="J455">
        <v>1.7000000000000001E-2</v>
      </c>
      <c r="L455">
        <f>IF(AND(B455&gt;=0.8,B455&lt;=1.5),1,IF(AND(B455&gt;=0.5,B455&lt;=2),0.5,0))</f>
        <v>0</v>
      </c>
      <c r="M455">
        <f>IF(AND(C455&gt;=0.5,C455&lt;=2),1,IF(AND(C455&gt;=0.1,C455&lt;=5),0.5,0))</f>
        <v>0</v>
      </c>
      <c r="N455">
        <f>IF(AND(G455&gt;=4,G455&lt;=7),1,IF(AND(G455&gt;=3,G455&lt;=8),0.5,0))</f>
        <v>1</v>
      </c>
      <c r="O455">
        <f>IF(AND(F455&gt;=270,F455&lt;=310),1,IF(AND(F455&gt;=250,F455&lt;=330),0.5,0))</f>
        <v>0</v>
      </c>
      <c r="P455">
        <f>IF(AND(E455&gt;=0.8,E455&lt;=1.5),1,IF(AND(E455&gt;=0.5,E455&lt;=2),0.5,0))</f>
        <v>0</v>
      </c>
      <c r="Q455">
        <f>IF(AND(H455&gt;=5000,H455&lt;=6000),1,IF(AND(H455&gt;=4000,H455&lt;5000),0.5,0))</f>
        <v>0</v>
      </c>
      <c r="R455">
        <f>0.35*AVERAGE(L455:M455:N455)+0.3*O455+0.2*P455+0.15*Q455</f>
        <v>0.11666666666666665</v>
      </c>
      <c r="S455" t="str">
        <f>LEFT(K455,1)</f>
        <v/>
      </c>
      <c r="T455">
        <f>IF(S455="G",1,0)</f>
        <v>0</v>
      </c>
      <c r="U455">
        <f>IF(S455="K",1,0)</f>
        <v>0</v>
      </c>
      <c r="V455">
        <f>IF(S455="M",1,0)</f>
        <v>0</v>
      </c>
      <c r="W455">
        <f>IF(S455="F",1,0)</f>
        <v>0</v>
      </c>
    </row>
    <row r="456" spans="1:23" x14ac:dyDescent="0.3">
      <c r="A456" t="s">
        <v>292</v>
      </c>
      <c r="B456">
        <v>12.228997939999999</v>
      </c>
      <c r="C456">
        <v>530.77343969000003</v>
      </c>
      <c r="D456">
        <v>5.8768918000000001</v>
      </c>
      <c r="E456">
        <v>6.7500000000000004E-2</v>
      </c>
      <c r="F456">
        <v>1264</v>
      </c>
      <c r="G456">
        <f>IF(OR(C456="",B456="",B456=0),"",5.51*(C456/(B456^3)))</f>
        <v>1.5991461824495969</v>
      </c>
      <c r="H456">
        <v>5706</v>
      </c>
      <c r="I456">
        <v>1.915057023252958</v>
      </c>
      <c r="J456">
        <v>0.38700000000000001</v>
      </c>
      <c r="L456">
        <f>IF(AND(B456&gt;=0.8,B456&lt;=1.5),1,IF(AND(B456&gt;=0.5,B456&lt;=2),0.5,0))</f>
        <v>0</v>
      </c>
      <c r="M456">
        <f>IF(AND(C456&gt;=0.5,C456&lt;=2),1,IF(AND(C456&gt;=0.1,C456&lt;=5),0.5,0))</f>
        <v>0</v>
      </c>
      <c r="N456">
        <f>IF(AND(G456&gt;=4,G456&lt;=7),1,IF(AND(G456&gt;=3,G456&lt;=8),0.5,0))</f>
        <v>0</v>
      </c>
      <c r="O456">
        <f>IF(AND(F456&gt;=270,F456&lt;=310),1,IF(AND(F456&gt;=250,F456&lt;=330),0.5,0))</f>
        <v>0</v>
      </c>
      <c r="P456">
        <f>IF(AND(E456&gt;=0.8,E456&lt;=1.5),1,IF(AND(E456&gt;=0.5,E456&lt;=2),0.5,0))</f>
        <v>0</v>
      </c>
      <c r="Q456">
        <f>IF(AND(H456&gt;=5000,H456&lt;=6000),1,IF(AND(H456&gt;=4000,H456&lt;5000),0.5,0))</f>
        <v>1</v>
      </c>
      <c r="R456">
        <f>0.35*AVERAGE(L456:M456:N456)+0.3*O456+0.2*P456+0.15*Q456</f>
        <v>0.15</v>
      </c>
      <c r="S456" t="str">
        <f>LEFT(K456,1)</f>
        <v/>
      </c>
      <c r="T456">
        <f>IF(S456="G",1,0)</f>
        <v>0</v>
      </c>
      <c r="U456">
        <f>IF(S456="K",1,0)</f>
        <v>0</v>
      </c>
      <c r="V456">
        <f>IF(S456="M",1,0)</f>
        <v>0</v>
      </c>
      <c r="W456">
        <f>IF(S456="F",1,0)</f>
        <v>0</v>
      </c>
    </row>
    <row r="457" spans="1:23" x14ac:dyDescent="0.3">
      <c r="A457" t="s">
        <v>291</v>
      </c>
      <c r="B457">
        <v>13.7646283</v>
      </c>
      <c r="C457">
        <v>397.28550875000002</v>
      </c>
      <c r="D457">
        <v>3.6515567999999998</v>
      </c>
      <c r="E457">
        <v>5.1499999999999997E-2</v>
      </c>
      <c r="F457">
        <v>1693</v>
      </c>
      <c r="G457">
        <f>IF(OR(C457="",B457="",B457=0),"",5.51*(C457/(B457^3)))</f>
        <v>0.83938433206839325</v>
      </c>
      <c r="H457">
        <v>6370</v>
      </c>
      <c r="I457">
        <v>3.5949824618712141</v>
      </c>
      <c r="J457">
        <v>4.4999999999999998E-2</v>
      </c>
      <c r="L457">
        <f>IF(AND(B457&gt;=0.8,B457&lt;=1.5),1,IF(AND(B457&gt;=0.5,B457&lt;=2),0.5,0))</f>
        <v>0</v>
      </c>
      <c r="M457">
        <f>IF(AND(C457&gt;=0.5,C457&lt;=2),1,IF(AND(C457&gt;=0.1,C457&lt;=5),0.5,0))</f>
        <v>0</v>
      </c>
      <c r="N457">
        <f>IF(AND(G457&gt;=4,G457&lt;=7),1,IF(AND(G457&gt;=3,G457&lt;=8),0.5,0))</f>
        <v>0</v>
      </c>
      <c r="O457">
        <f>IF(AND(F457&gt;=270,F457&lt;=310),1,IF(AND(F457&gt;=250,F457&lt;=330),0.5,0))</f>
        <v>0</v>
      </c>
      <c r="P457">
        <f>IF(AND(E457&gt;=0.8,E457&lt;=1.5),1,IF(AND(E457&gt;=0.5,E457&lt;=2),0.5,0))</f>
        <v>0</v>
      </c>
      <c r="Q457">
        <f>IF(AND(H457&gt;=5000,H457&lt;=6000),1,IF(AND(H457&gt;=4000,H457&lt;5000),0.5,0))</f>
        <v>0</v>
      </c>
      <c r="R457">
        <f>0.35*AVERAGE(L457:M457:N457)+0.3*O457+0.2*P457+0.15*Q457</f>
        <v>0</v>
      </c>
      <c r="S457" t="str">
        <f>LEFT(K457,1)</f>
        <v/>
      </c>
      <c r="T457">
        <f>IF(S457="G",1,0)</f>
        <v>0</v>
      </c>
      <c r="U457">
        <f>IF(S457="K",1,0)</f>
        <v>0</v>
      </c>
      <c r="V457">
        <f>IF(S457="M",1,0)</f>
        <v>0</v>
      </c>
      <c r="W457">
        <f>IF(S457="F",1,0)</f>
        <v>0</v>
      </c>
    </row>
    <row r="458" spans="1:23" x14ac:dyDescent="0.3">
      <c r="A458" t="s">
        <v>290</v>
      </c>
      <c r="B458">
        <v>14.67255574</v>
      </c>
      <c r="C458">
        <v>193.87532827000001</v>
      </c>
      <c r="D458">
        <v>3.8795104999999999</v>
      </c>
      <c r="E458">
        <v>5.0200000000000002E-2</v>
      </c>
      <c r="F458">
        <v>1451</v>
      </c>
      <c r="G458">
        <f>IF(OR(C458="",B458="",B458=0),"",5.51*(C458/(B458^3)))</f>
        <v>0.3381869468215597</v>
      </c>
      <c r="H458">
        <v>6020</v>
      </c>
      <c r="I458">
        <v>1.8588960038671027</v>
      </c>
      <c r="J458">
        <v>0.14599999999999999</v>
      </c>
      <c r="L458">
        <f>IF(AND(B458&gt;=0.8,B458&lt;=1.5),1,IF(AND(B458&gt;=0.5,B458&lt;=2),0.5,0))</f>
        <v>0</v>
      </c>
      <c r="M458">
        <f>IF(AND(C458&gt;=0.5,C458&lt;=2),1,IF(AND(C458&gt;=0.1,C458&lt;=5),0.5,0))</f>
        <v>0</v>
      </c>
      <c r="N458">
        <f>IF(AND(G458&gt;=4,G458&lt;=7),1,IF(AND(G458&gt;=3,G458&lt;=8),0.5,0))</f>
        <v>0</v>
      </c>
      <c r="O458">
        <f>IF(AND(F458&gt;=270,F458&lt;=310),1,IF(AND(F458&gt;=250,F458&lt;=330),0.5,0))</f>
        <v>0</v>
      </c>
      <c r="P458">
        <f>IF(AND(E458&gt;=0.8,E458&lt;=1.5),1,IF(AND(E458&gt;=0.5,E458&lt;=2),0.5,0))</f>
        <v>0</v>
      </c>
      <c r="Q458">
        <f>IF(AND(H458&gt;=5000,H458&lt;=6000),1,IF(AND(H458&gt;=4000,H458&lt;5000),0.5,0))</f>
        <v>0</v>
      </c>
      <c r="R458">
        <f>0.35*AVERAGE(L458:M458:N458)+0.3*O458+0.2*P458+0.15*Q458</f>
        <v>0</v>
      </c>
      <c r="S458" t="str">
        <f>LEFT(K458,1)</f>
        <v/>
      </c>
      <c r="T458">
        <f>IF(S458="G",1,0)</f>
        <v>0</v>
      </c>
      <c r="U458">
        <f>IF(S458="K",1,0)</f>
        <v>0</v>
      </c>
      <c r="V458">
        <f>IF(S458="M",1,0)</f>
        <v>0</v>
      </c>
      <c r="W458">
        <f>IF(S458="F",1,0)</f>
        <v>0</v>
      </c>
    </row>
    <row r="459" spans="1:23" x14ac:dyDescent="0.3">
      <c r="A459" t="s">
        <v>289</v>
      </c>
      <c r="B459">
        <v>10.5700688</v>
      </c>
      <c r="C459">
        <v>99.162462980000001</v>
      </c>
      <c r="D459">
        <v>2.2177810500000001</v>
      </c>
      <c r="E459">
        <v>3.1379999999999998E-2</v>
      </c>
      <c r="F459">
        <v>1190</v>
      </c>
      <c r="G459">
        <f>IF(OR(C459="",B459="",B459=0),"",5.51*(C459/(B459^3)))</f>
        <v>0.46266373730368432</v>
      </c>
      <c r="H459">
        <v>4930</v>
      </c>
      <c r="I459">
        <v>0.32910157600659068</v>
      </c>
      <c r="J459">
        <v>0.28299999999999997</v>
      </c>
      <c r="L459">
        <f>IF(AND(B459&gt;=0.8,B459&lt;=1.5),1,IF(AND(B459&gt;=0.5,B459&lt;=2),0.5,0))</f>
        <v>0</v>
      </c>
      <c r="M459">
        <f>IF(AND(C459&gt;=0.5,C459&lt;=2),1,IF(AND(C459&gt;=0.1,C459&lt;=5),0.5,0))</f>
        <v>0</v>
      </c>
      <c r="N459">
        <f>IF(AND(G459&gt;=4,G459&lt;=7),1,IF(AND(G459&gt;=3,G459&lt;=8),0.5,0))</f>
        <v>0</v>
      </c>
      <c r="O459">
        <f>IF(AND(F459&gt;=270,F459&lt;=310),1,IF(AND(F459&gt;=250,F459&lt;=330),0.5,0))</f>
        <v>0</v>
      </c>
      <c r="P459">
        <f>IF(AND(E459&gt;=0.8,E459&lt;=1.5),1,IF(AND(E459&gt;=0.5,E459&lt;=2),0.5,0))</f>
        <v>0</v>
      </c>
      <c r="Q459">
        <f>IF(AND(H459&gt;=5000,H459&lt;=6000),1,IF(AND(H459&gt;=4000,H459&lt;5000),0.5,0))</f>
        <v>0.5</v>
      </c>
      <c r="R459">
        <f>0.35*AVERAGE(L459:M459:N459)+0.3*O459+0.2*P459+0.15*Q459</f>
        <v>7.4999999999999997E-2</v>
      </c>
      <c r="S459" t="str">
        <f>LEFT(K459,1)</f>
        <v/>
      </c>
      <c r="T459">
        <f>IF(S459="G",1,0)</f>
        <v>0</v>
      </c>
      <c r="U459">
        <f>IF(S459="K",1,0)</f>
        <v>0</v>
      </c>
      <c r="V459">
        <f>IF(S459="M",1,0)</f>
        <v>0</v>
      </c>
      <c r="W459">
        <f>IF(S459="F",1,0)</f>
        <v>0</v>
      </c>
    </row>
    <row r="460" spans="1:23" x14ac:dyDescent="0.3">
      <c r="A460" t="s">
        <v>288</v>
      </c>
      <c r="B460">
        <v>3.22</v>
      </c>
      <c r="C460">
        <v>8.9700000000000006</v>
      </c>
      <c r="D460">
        <v>8.1594666999999994</v>
      </c>
      <c r="F460">
        <v>1102</v>
      </c>
      <c r="G460">
        <f>IF(OR(C460="",B460="",B460=0),"",5.51*(C460/(B460^3)))</f>
        <v>1.4803909681615015</v>
      </c>
      <c r="H460">
        <v>5844</v>
      </c>
      <c r="I460">
        <v>1.578074174692542</v>
      </c>
      <c r="J460">
        <v>0.03</v>
      </c>
      <c r="K460" t="s">
        <v>287</v>
      </c>
      <c r="L460">
        <f>IF(AND(B460&gt;=0.8,B460&lt;=1.5),1,IF(AND(B460&gt;=0.5,B460&lt;=2),0.5,0))</f>
        <v>0</v>
      </c>
      <c r="M460">
        <f>IF(AND(C460&gt;=0.5,C460&lt;=2),1,IF(AND(C460&gt;=0.1,C460&lt;=5),0.5,0))</f>
        <v>0</v>
      </c>
      <c r="N460">
        <f>IF(AND(G460&gt;=4,G460&lt;=7),1,IF(AND(G460&gt;=3,G460&lt;=8),0.5,0))</f>
        <v>0</v>
      </c>
      <c r="O460">
        <f>IF(AND(F460&gt;=270,F460&lt;=310),1,IF(AND(F460&gt;=250,F460&lt;=330),0.5,0))</f>
        <v>0</v>
      </c>
      <c r="P460">
        <f>IF(AND(E460&gt;=0.8,E460&lt;=1.5),1,IF(AND(E460&gt;=0.5,E460&lt;=2),0.5,0))</f>
        <v>0</v>
      </c>
      <c r="Q460">
        <f>IF(AND(H460&gt;=5000,H460&lt;=6000),1,IF(AND(H460&gt;=4000,H460&lt;5000),0.5,0))</f>
        <v>1</v>
      </c>
      <c r="R460">
        <f>0.35*AVERAGE(L460:M460:N460)+0.3*O460+0.2*P460+0.15*Q460</f>
        <v>0.15</v>
      </c>
      <c r="S460" t="str">
        <f>LEFT(K460,1)</f>
        <v>G</v>
      </c>
      <c r="T460">
        <f>IF(S460="G",1,0)</f>
        <v>1</v>
      </c>
      <c r="U460">
        <f>IF(S460="K",1,0)</f>
        <v>0</v>
      </c>
      <c r="V460">
        <f>IF(S460="M",1,0)</f>
        <v>0</v>
      </c>
      <c r="W460">
        <f>IF(S460="F",1,0)</f>
        <v>0</v>
      </c>
    </row>
    <row r="461" spans="1:23" x14ac:dyDescent="0.3">
      <c r="A461" t="s">
        <v>286</v>
      </c>
      <c r="B461">
        <v>15.9727975</v>
      </c>
      <c r="C461">
        <v>435.42491759000001</v>
      </c>
      <c r="D461">
        <v>2.3045895199999999</v>
      </c>
      <c r="E461">
        <v>3.5589999999999997E-2</v>
      </c>
      <c r="F461">
        <v>1984</v>
      </c>
      <c r="G461">
        <f>IF(OR(C461="",B461="",B461=0),"",5.51*(C461/(B461^3)))</f>
        <v>0.58873779882373933</v>
      </c>
      <c r="H461">
        <v>6450</v>
      </c>
      <c r="I461">
        <v>3.2558608247378484</v>
      </c>
      <c r="J461">
        <v>-0.36599999999999999</v>
      </c>
      <c r="L461">
        <f>IF(AND(B461&gt;=0.8,B461&lt;=1.5),1,IF(AND(B461&gt;=0.5,B461&lt;=2),0.5,0))</f>
        <v>0</v>
      </c>
      <c r="M461">
        <f>IF(AND(C461&gt;=0.5,C461&lt;=2),1,IF(AND(C461&gt;=0.1,C461&lt;=5),0.5,0))</f>
        <v>0</v>
      </c>
      <c r="N461">
        <f>IF(AND(G461&gt;=4,G461&lt;=7),1,IF(AND(G461&gt;=3,G461&lt;=8),0.5,0))</f>
        <v>0</v>
      </c>
      <c r="O461">
        <f>IF(AND(F461&gt;=270,F461&lt;=310),1,IF(AND(F461&gt;=250,F461&lt;=330),0.5,0))</f>
        <v>0</v>
      </c>
      <c r="P461">
        <f>IF(AND(E461&gt;=0.8,E461&lt;=1.5),1,IF(AND(E461&gt;=0.5,E461&lt;=2),0.5,0))</f>
        <v>0</v>
      </c>
      <c r="Q461">
        <f>IF(AND(H461&gt;=5000,H461&lt;=6000),1,IF(AND(H461&gt;=4000,H461&lt;5000),0.5,0))</f>
        <v>0</v>
      </c>
      <c r="R461">
        <f>0.35*AVERAGE(L461:M461:N461)+0.3*O461+0.2*P461+0.15*Q461</f>
        <v>0</v>
      </c>
      <c r="S461" t="str">
        <f>LEFT(K461,1)</f>
        <v/>
      </c>
      <c r="T461">
        <f>IF(S461="G",1,0)</f>
        <v>0</v>
      </c>
      <c r="U461">
        <f>IF(S461="K",1,0)</f>
        <v>0</v>
      </c>
      <c r="V461">
        <f>IF(S461="M",1,0)</f>
        <v>0</v>
      </c>
      <c r="W461">
        <f>IF(S461="F",1,0)</f>
        <v>0</v>
      </c>
    </row>
    <row r="462" spans="1:23" x14ac:dyDescent="0.3">
      <c r="A462" t="s">
        <v>285</v>
      </c>
      <c r="B462">
        <v>23.538859469999998</v>
      </c>
      <c r="C462">
        <v>375.03752026000001</v>
      </c>
      <c r="D462">
        <v>3.119999</v>
      </c>
      <c r="E462">
        <v>4.2889999999999998E-2</v>
      </c>
      <c r="F462">
        <v>1498</v>
      </c>
      <c r="G462">
        <f>IF(OR(C462="",B462="",B462=0),"",5.51*(C462/(B462^3)))</f>
        <v>0.15844190993864524</v>
      </c>
      <c r="H462">
        <v>5810</v>
      </c>
      <c r="I462">
        <v>1.5416689058354163</v>
      </c>
      <c r="J462">
        <v>0.17599999999999999</v>
      </c>
      <c r="L462">
        <f>IF(AND(B462&gt;=0.8,B462&lt;=1.5),1,IF(AND(B462&gt;=0.5,B462&lt;=2),0.5,0))</f>
        <v>0</v>
      </c>
      <c r="M462">
        <f>IF(AND(C462&gt;=0.5,C462&lt;=2),1,IF(AND(C462&gt;=0.1,C462&lt;=5),0.5,0))</f>
        <v>0</v>
      </c>
      <c r="N462">
        <f>IF(AND(G462&gt;=4,G462&lt;=7),1,IF(AND(G462&gt;=3,G462&lt;=8),0.5,0))</f>
        <v>0</v>
      </c>
      <c r="O462">
        <f>IF(AND(F462&gt;=270,F462&lt;=310),1,IF(AND(F462&gt;=250,F462&lt;=330),0.5,0))</f>
        <v>0</v>
      </c>
      <c r="P462">
        <f>IF(AND(E462&gt;=0.8,E462&lt;=1.5),1,IF(AND(E462&gt;=0.5,E462&lt;=2),0.5,0))</f>
        <v>0</v>
      </c>
      <c r="Q462">
        <f>IF(AND(H462&gt;=5000,H462&lt;=6000),1,IF(AND(H462&gt;=4000,H462&lt;5000),0.5,0))</f>
        <v>1</v>
      </c>
      <c r="R462">
        <f>0.35*AVERAGE(L462:M462:N462)+0.3*O462+0.2*P462+0.15*Q462</f>
        <v>0.15</v>
      </c>
      <c r="S462" t="str">
        <f>LEFT(K462,1)</f>
        <v/>
      </c>
      <c r="T462">
        <f>IF(S462="G",1,0)</f>
        <v>0</v>
      </c>
      <c r="U462">
        <f>IF(S462="K",1,0)</f>
        <v>0</v>
      </c>
      <c r="V462">
        <f>IF(S462="M",1,0)</f>
        <v>0</v>
      </c>
      <c r="W462">
        <f>IF(S462="F",1,0)</f>
        <v>0</v>
      </c>
    </row>
    <row r="463" spans="1:23" x14ac:dyDescent="0.3">
      <c r="A463" t="s">
        <v>284</v>
      </c>
      <c r="B463">
        <v>5.3</v>
      </c>
      <c r="C463">
        <v>26.4</v>
      </c>
      <c r="D463">
        <v>4.4179649999999997</v>
      </c>
      <c r="E463">
        <v>4.8500000000000001E-2</v>
      </c>
      <c r="F463">
        <v>899</v>
      </c>
      <c r="G463">
        <f>IF(OR(C463="",B463="",B463=0),"",5.51*(C463/(B463^3)))</f>
        <v>0.97707503509608606</v>
      </c>
      <c r="H463">
        <v>4969</v>
      </c>
      <c r="I463">
        <v>0.28276367518617213</v>
      </c>
      <c r="J463">
        <v>-0.01</v>
      </c>
      <c r="L463">
        <f>IF(AND(B463&gt;=0.8,B463&lt;=1.5),1,IF(AND(B463&gt;=0.5,B463&lt;=2),0.5,0))</f>
        <v>0</v>
      </c>
      <c r="M463">
        <f>IF(AND(C463&gt;=0.5,C463&lt;=2),1,IF(AND(C463&gt;=0.1,C463&lt;=5),0.5,0))</f>
        <v>0</v>
      </c>
      <c r="N463">
        <f>IF(AND(G463&gt;=4,G463&lt;=7),1,IF(AND(G463&gt;=3,G463&lt;=8),0.5,0))</f>
        <v>0</v>
      </c>
      <c r="O463">
        <f>IF(AND(F463&gt;=270,F463&lt;=310),1,IF(AND(F463&gt;=250,F463&lt;=330),0.5,0))</f>
        <v>0</v>
      </c>
      <c r="P463">
        <f>IF(AND(E463&gt;=0.8,E463&lt;=1.5),1,IF(AND(E463&gt;=0.5,E463&lt;=2),0.5,0))</f>
        <v>0</v>
      </c>
      <c r="Q463">
        <f>IF(AND(H463&gt;=5000,H463&lt;=6000),1,IF(AND(H463&gt;=4000,H463&lt;5000),0.5,0))</f>
        <v>0.5</v>
      </c>
      <c r="R463">
        <f>0.35*AVERAGE(L463:M463:N463)+0.3*O463+0.2*P463+0.15*Q463</f>
        <v>7.4999999999999997E-2</v>
      </c>
      <c r="S463" t="str">
        <f>LEFT(K463,1)</f>
        <v/>
      </c>
      <c r="T463">
        <f>IF(S463="G",1,0)</f>
        <v>0</v>
      </c>
      <c r="U463">
        <f>IF(S463="K",1,0)</f>
        <v>0</v>
      </c>
      <c r="V463">
        <f>IF(S463="M",1,0)</f>
        <v>0</v>
      </c>
      <c r="W463">
        <f>IF(S463="F",1,0)</f>
        <v>0</v>
      </c>
    </row>
    <row r="464" spans="1:23" x14ac:dyDescent="0.3">
      <c r="A464" t="s">
        <v>283</v>
      </c>
      <c r="B464">
        <v>11.02963701</v>
      </c>
      <c r="C464">
        <v>565.73456446</v>
      </c>
      <c r="D464">
        <v>3.8212866999999999</v>
      </c>
      <c r="E464">
        <v>4.8099999999999997E-2</v>
      </c>
      <c r="F464">
        <v>1170</v>
      </c>
      <c r="G464">
        <f>IF(OR(C464="",B464="",B464=0),"",5.51*(C464/(B464^3)))</f>
        <v>2.3231681913763218</v>
      </c>
      <c r="H464">
        <v>5550</v>
      </c>
      <c r="I464">
        <v>0.71737649837377138</v>
      </c>
      <c r="J464">
        <v>0.38400000000000001</v>
      </c>
      <c r="L464">
        <f>IF(AND(B464&gt;=0.8,B464&lt;=1.5),1,IF(AND(B464&gt;=0.5,B464&lt;=2),0.5,0))</f>
        <v>0</v>
      </c>
      <c r="M464">
        <f>IF(AND(C464&gt;=0.5,C464&lt;=2),1,IF(AND(C464&gt;=0.1,C464&lt;=5),0.5,0))</f>
        <v>0</v>
      </c>
      <c r="N464">
        <f>IF(AND(G464&gt;=4,G464&lt;=7),1,IF(AND(G464&gt;=3,G464&lt;=8),0.5,0))</f>
        <v>0</v>
      </c>
      <c r="O464">
        <f>IF(AND(F464&gt;=270,F464&lt;=310),1,IF(AND(F464&gt;=250,F464&lt;=330),0.5,0))</f>
        <v>0</v>
      </c>
      <c r="P464">
        <f>IF(AND(E464&gt;=0.8,E464&lt;=1.5),1,IF(AND(E464&gt;=0.5,E464&lt;=2),0.5,0))</f>
        <v>0</v>
      </c>
      <c r="Q464">
        <f>IF(AND(H464&gt;=5000,H464&lt;=6000),1,IF(AND(H464&gt;=4000,H464&lt;5000),0.5,0))</f>
        <v>1</v>
      </c>
      <c r="R464">
        <f>0.35*AVERAGE(L464:M464:N464)+0.3*O464+0.2*P464+0.15*Q464</f>
        <v>0.15</v>
      </c>
      <c r="S464" t="str">
        <f>LEFT(K464,1)</f>
        <v/>
      </c>
      <c r="T464">
        <f>IF(S464="G",1,0)</f>
        <v>0</v>
      </c>
      <c r="U464">
        <f>IF(S464="K",1,0)</f>
        <v>0</v>
      </c>
      <c r="V464">
        <f>IF(S464="M",1,0)</f>
        <v>0</v>
      </c>
      <c r="W464">
        <f>IF(S464="F",1,0)</f>
        <v>0</v>
      </c>
    </row>
    <row r="465" spans="1:23" x14ac:dyDescent="0.3">
      <c r="A465" t="s">
        <v>282</v>
      </c>
      <c r="B465">
        <v>8.2946457200000001</v>
      </c>
      <c r="C465">
        <v>82.635385819999996</v>
      </c>
      <c r="D465">
        <v>3.9365510000000001</v>
      </c>
      <c r="E465">
        <v>4.2999999999999997E-2</v>
      </c>
      <c r="F465">
        <v>690</v>
      </c>
      <c r="G465">
        <f>IF(OR(C465="",B465="",B465=0),"",5.51*(C465/(B465^3)))</f>
        <v>0.79785530001255767</v>
      </c>
      <c r="H465">
        <v>3870</v>
      </c>
      <c r="I465">
        <v>7.2449636495646966E-2</v>
      </c>
      <c r="J465">
        <v>0.4</v>
      </c>
      <c r="K465" t="s">
        <v>281</v>
      </c>
      <c r="L465">
        <f>IF(AND(B465&gt;=0.8,B465&lt;=1.5),1,IF(AND(B465&gt;=0.5,B465&lt;=2),0.5,0))</f>
        <v>0</v>
      </c>
      <c r="M465">
        <f>IF(AND(C465&gt;=0.5,C465&lt;=2),1,IF(AND(C465&gt;=0.1,C465&lt;=5),0.5,0))</f>
        <v>0</v>
      </c>
      <c r="N465">
        <f>IF(AND(G465&gt;=4,G465&lt;=7),1,IF(AND(G465&gt;=3,G465&lt;=8),0.5,0))</f>
        <v>0</v>
      </c>
      <c r="O465">
        <f>IF(AND(F465&gt;=270,F465&lt;=310),1,IF(AND(F465&gt;=250,F465&lt;=330),0.5,0))</f>
        <v>0</v>
      </c>
      <c r="P465">
        <f>IF(AND(E465&gt;=0.8,E465&lt;=1.5),1,IF(AND(E465&gt;=0.5,E465&lt;=2),0.5,0))</f>
        <v>0</v>
      </c>
      <c r="Q465">
        <f>IF(AND(H465&gt;=5000,H465&lt;=6000),1,IF(AND(H465&gt;=4000,H465&lt;5000),0.5,0))</f>
        <v>0</v>
      </c>
      <c r="R465">
        <f>0.35*AVERAGE(L465:M465:N465)+0.3*O465+0.2*P465+0.15*Q465</f>
        <v>0</v>
      </c>
      <c r="S465" t="str">
        <f>LEFT(K465,1)</f>
        <v>M</v>
      </c>
      <c r="T465">
        <f>IF(S465="G",1,0)</f>
        <v>0</v>
      </c>
      <c r="U465">
        <f>IF(S465="K",1,0)</f>
        <v>0</v>
      </c>
      <c r="V465">
        <f>IF(S465="M",1,0)</f>
        <v>1</v>
      </c>
      <c r="W465">
        <f>IF(S465="F",1,0)</f>
        <v>0</v>
      </c>
    </row>
    <row r="466" spans="1:23" x14ac:dyDescent="0.3">
      <c r="A466" t="s">
        <v>280</v>
      </c>
      <c r="B466">
        <v>12.80065596</v>
      </c>
      <c r="C466">
        <v>69.286592729999995</v>
      </c>
      <c r="D466">
        <v>3.3462405999999998</v>
      </c>
      <c r="E466">
        <v>4.8000000000000001E-2</v>
      </c>
      <c r="F466">
        <v>1657</v>
      </c>
      <c r="G466">
        <f>IF(OR(C466="",B466="",B466=0),"",5.51*(C466/(B466^3)))</f>
        <v>0.18201372076676711</v>
      </c>
      <c r="H466">
        <v>5703</v>
      </c>
      <c r="I466">
        <v>2.8569477290074285</v>
      </c>
      <c r="J466">
        <v>0.41599999999999998</v>
      </c>
      <c r="L466">
        <f>IF(AND(B466&gt;=0.8,B466&lt;=1.5),1,IF(AND(B466&gt;=0.5,B466&lt;=2),0.5,0))</f>
        <v>0</v>
      </c>
      <c r="M466">
        <f>IF(AND(C466&gt;=0.5,C466&lt;=2),1,IF(AND(C466&gt;=0.1,C466&lt;=5),0.5,0))</f>
        <v>0</v>
      </c>
      <c r="N466">
        <f>IF(AND(G466&gt;=4,G466&lt;=7),1,IF(AND(G466&gt;=3,G466&lt;=8),0.5,0))</f>
        <v>0</v>
      </c>
      <c r="O466">
        <f>IF(AND(F466&gt;=270,F466&lt;=310),1,IF(AND(F466&gt;=250,F466&lt;=330),0.5,0))</f>
        <v>0</v>
      </c>
      <c r="P466">
        <f>IF(AND(E466&gt;=0.8,E466&lt;=1.5),1,IF(AND(E466&gt;=0.5,E466&lt;=2),0.5,0))</f>
        <v>0</v>
      </c>
      <c r="Q466">
        <f>IF(AND(H466&gt;=5000,H466&lt;=6000),1,IF(AND(H466&gt;=4000,H466&lt;5000),0.5,0))</f>
        <v>1</v>
      </c>
      <c r="R466">
        <f>0.35*AVERAGE(L466:M466:N466)+0.3*O466+0.2*P466+0.15*Q466</f>
        <v>0.15</v>
      </c>
      <c r="S466" t="str">
        <f>LEFT(K466,1)</f>
        <v/>
      </c>
      <c r="T466">
        <f>IF(S466="G",1,0)</f>
        <v>0</v>
      </c>
      <c r="U466">
        <f>IF(S466="K",1,0)</f>
        <v>0</v>
      </c>
      <c r="V466">
        <f>IF(S466="M",1,0)</f>
        <v>0</v>
      </c>
      <c r="W466">
        <f>IF(S466="F",1,0)</f>
        <v>0</v>
      </c>
    </row>
    <row r="467" spans="1:23" x14ac:dyDescent="0.3">
      <c r="A467" t="s">
        <v>279</v>
      </c>
      <c r="B467">
        <v>13.080880479999999</v>
      </c>
      <c r="C467">
        <v>311.47183885999999</v>
      </c>
      <c r="D467">
        <v>3.2460749999999998</v>
      </c>
      <c r="E467">
        <v>4.5600000000000002E-2</v>
      </c>
      <c r="F467">
        <v>1534</v>
      </c>
      <c r="G467">
        <f>IF(OR(C467="",B467="",B467=0),"",5.51*(C467/(B467^3)))</f>
        <v>0.76676000776673003</v>
      </c>
      <c r="H467">
        <v>5950</v>
      </c>
      <c r="I467">
        <v>1.9062492303577225</v>
      </c>
      <c r="J467">
        <v>0.26200000000000001</v>
      </c>
      <c r="L467">
        <f>IF(AND(B467&gt;=0.8,B467&lt;=1.5),1,IF(AND(B467&gt;=0.5,B467&lt;=2),0.5,0))</f>
        <v>0</v>
      </c>
      <c r="M467">
        <f>IF(AND(C467&gt;=0.5,C467&lt;=2),1,IF(AND(C467&gt;=0.1,C467&lt;=5),0.5,0))</f>
        <v>0</v>
      </c>
      <c r="N467">
        <f>IF(AND(G467&gt;=4,G467&lt;=7),1,IF(AND(G467&gt;=3,G467&lt;=8),0.5,0))</f>
        <v>0</v>
      </c>
      <c r="O467">
        <f>IF(AND(F467&gt;=270,F467&lt;=310),1,IF(AND(F467&gt;=250,F467&lt;=330),0.5,0))</f>
        <v>0</v>
      </c>
      <c r="P467">
        <f>IF(AND(E467&gt;=0.8,E467&lt;=1.5),1,IF(AND(E467&gt;=0.5,E467&lt;=2),0.5,0))</f>
        <v>0</v>
      </c>
      <c r="Q467">
        <f>IF(AND(H467&gt;=5000,H467&lt;=6000),1,IF(AND(H467&gt;=4000,H467&lt;5000),0.5,0))</f>
        <v>1</v>
      </c>
      <c r="R467">
        <f>0.35*AVERAGE(L467:M467:N467)+0.3*O467+0.2*P467+0.15*Q467</f>
        <v>0.15</v>
      </c>
      <c r="S467" t="str">
        <f>LEFT(K467,1)</f>
        <v/>
      </c>
      <c r="T467">
        <f>IF(S467="G",1,0)</f>
        <v>0</v>
      </c>
      <c r="U467">
        <f>IF(S467="K",1,0)</f>
        <v>0</v>
      </c>
      <c r="V467">
        <f>IF(S467="M",1,0)</f>
        <v>0</v>
      </c>
      <c r="W467">
        <f>IF(S467="F",1,0)</f>
        <v>0</v>
      </c>
    </row>
    <row r="468" spans="1:23" x14ac:dyDescent="0.3">
      <c r="A468" t="s">
        <v>278</v>
      </c>
      <c r="B468">
        <v>12.59889431</v>
      </c>
      <c r="C468">
        <v>324.18497514000001</v>
      </c>
      <c r="D468">
        <v>9.0885160000000003</v>
      </c>
      <c r="E468">
        <v>8.1299999999999997E-2</v>
      </c>
      <c r="F468">
        <v>801</v>
      </c>
      <c r="G468">
        <f>IF(OR(C468="",B468="",B468=0),"",5.51*(C468/(B468^3)))</f>
        <v>0.89319685164944462</v>
      </c>
      <c r="H468">
        <v>5321</v>
      </c>
      <c r="I468">
        <v>0.45000345964460103</v>
      </c>
      <c r="J468">
        <v>7.0999999999999994E-2</v>
      </c>
      <c r="L468">
        <f>IF(AND(B468&gt;=0.8,B468&lt;=1.5),1,IF(AND(B468&gt;=0.5,B468&lt;=2),0.5,0))</f>
        <v>0</v>
      </c>
      <c r="M468">
        <f>IF(AND(C468&gt;=0.5,C468&lt;=2),1,IF(AND(C468&gt;=0.1,C468&lt;=5),0.5,0))</f>
        <v>0</v>
      </c>
      <c r="N468">
        <f>IF(AND(G468&gt;=4,G468&lt;=7),1,IF(AND(G468&gt;=3,G468&lt;=8),0.5,0))</f>
        <v>0</v>
      </c>
      <c r="O468">
        <f>IF(AND(F468&gt;=270,F468&lt;=310),1,IF(AND(F468&gt;=250,F468&lt;=330),0.5,0))</f>
        <v>0</v>
      </c>
      <c r="P468">
        <f>IF(AND(E468&gt;=0.8,E468&lt;=1.5),1,IF(AND(E468&gt;=0.5,E468&lt;=2),0.5,0))</f>
        <v>0</v>
      </c>
      <c r="Q468">
        <f>IF(AND(H468&gt;=5000,H468&lt;=6000),1,IF(AND(H468&gt;=4000,H468&lt;5000),0.5,0))</f>
        <v>1</v>
      </c>
      <c r="R468">
        <f>0.35*AVERAGE(L468:M468:N468)+0.3*O468+0.2*P468+0.15*Q468</f>
        <v>0.15</v>
      </c>
      <c r="S468" t="str">
        <f>LEFT(K468,1)</f>
        <v/>
      </c>
      <c r="T468">
        <f>IF(S468="G",1,0)</f>
        <v>0</v>
      </c>
      <c r="U468">
        <f>IF(S468="K",1,0)</f>
        <v>0</v>
      </c>
      <c r="V468">
        <f>IF(S468="M",1,0)</f>
        <v>0</v>
      </c>
      <c r="W468">
        <f>IF(S468="F",1,0)</f>
        <v>0</v>
      </c>
    </row>
    <row r="469" spans="1:23" x14ac:dyDescent="0.3">
      <c r="A469" t="s">
        <v>277</v>
      </c>
      <c r="B469">
        <v>11.32107051</v>
      </c>
      <c r="C469">
        <v>222.4798849</v>
      </c>
      <c r="D469">
        <v>2.154849</v>
      </c>
      <c r="E469">
        <v>2.7E-2</v>
      </c>
      <c r="F469">
        <v>750</v>
      </c>
      <c r="G469">
        <f>IF(OR(C469="",B469="",B469=0),"",5.51*(C469/(B469^3)))</f>
        <v>0.84485049756704178</v>
      </c>
      <c r="H469">
        <v>3660</v>
      </c>
      <c r="I469">
        <v>4.187497335855983E-2</v>
      </c>
      <c r="J469">
        <v>0.1</v>
      </c>
      <c r="K469" t="s">
        <v>276</v>
      </c>
      <c r="L469">
        <f>IF(AND(B469&gt;=0.8,B469&lt;=1.5),1,IF(AND(B469&gt;=0.5,B469&lt;=2),0.5,0))</f>
        <v>0</v>
      </c>
      <c r="M469">
        <f>IF(AND(C469&gt;=0.5,C469&lt;=2),1,IF(AND(C469&gt;=0.1,C469&lt;=5),0.5,0))</f>
        <v>0</v>
      </c>
      <c r="N469">
        <f>IF(AND(G469&gt;=4,G469&lt;=7),1,IF(AND(G469&gt;=3,G469&lt;=8),0.5,0))</f>
        <v>0</v>
      </c>
      <c r="O469">
        <f>IF(AND(F469&gt;=270,F469&lt;=310),1,IF(AND(F469&gt;=250,F469&lt;=330),0.5,0))</f>
        <v>0</v>
      </c>
      <c r="P469">
        <f>IF(AND(E469&gt;=0.8,E469&lt;=1.5),1,IF(AND(E469&gt;=0.5,E469&lt;=2),0.5,0))</f>
        <v>0</v>
      </c>
      <c r="Q469">
        <f>IF(AND(H469&gt;=5000,H469&lt;=6000),1,IF(AND(H469&gt;=4000,H469&lt;5000),0.5,0))</f>
        <v>0</v>
      </c>
      <c r="R469">
        <f>0.35*AVERAGE(L469:M469:N469)+0.3*O469+0.2*P469+0.15*Q469</f>
        <v>0</v>
      </c>
      <c r="S469" t="str">
        <f>LEFT(K469,1)</f>
        <v>M</v>
      </c>
      <c r="T469">
        <f>IF(S469="G",1,0)</f>
        <v>0</v>
      </c>
      <c r="U469">
        <f>IF(S469="K",1,0)</f>
        <v>0</v>
      </c>
      <c r="V469">
        <f>IF(S469="M",1,0)</f>
        <v>1</v>
      </c>
      <c r="W469">
        <f>IF(S469="F",1,0)</f>
        <v>0</v>
      </c>
    </row>
    <row r="470" spans="1:23" x14ac:dyDescent="0.3">
      <c r="A470" t="s">
        <v>275</v>
      </c>
      <c r="B470">
        <v>12</v>
      </c>
      <c r="C470">
        <v>85.3</v>
      </c>
      <c r="D470">
        <v>3.4387530000000002</v>
      </c>
      <c r="E470">
        <v>3.8449999999999998E-2</v>
      </c>
      <c r="F470">
        <v>759</v>
      </c>
      <c r="G470">
        <f>IF(OR(C470="",B470="",B470=0),"",5.51*(C470/(B470^3)))</f>
        <v>0.27199247685185179</v>
      </c>
      <c r="H470">
        <v>3913</v>
      </c>
      <c r="I470">
        <v>8.0856068489969249E-2</v>
      </c>
      <c r="J470">
        <v>0</v>
      </c>
      <c r="K470" t="s">
        <v>96</v>
      </c>
      <c r="L470">
        <f>IF(AND(B470&gt;=0.8,B470&lt;=1.5),1,IF(AND(B470&gt;=0.5,B470&lt;=2),0.5,0))</f>
        <v>0</v>
      </c>
      <c r="M470">
        <f>IF(AND(C470&gt;=0.5,C470&lt;=2),1,IF(AND(C470&gt;=0.1,C470&lt;=5),0.5,0))</f>
        <v>0</v>
      </c>
      <c r="N470">
        <f>IF(AND(G470&gt;=4,G470&lt;=7),1,IF(AND(G470&gt;=3,G470&lt;=8),0.5,0))</f>
        <v>0</v>
      </c>
      <c r="O470">
        <f>IF(AND(F470&gt;=270,F470&lt;=310),1,IF(AND(F470&gt;=250,F470&lt;=330),0.5,0))</f>
        <v>0</v>
      </c>
      <c r="P470">
        <f>IF(AND(E470&gt;=0.8,E470&lt;=1.5),1,IF(AND(E470&gt;=0.5,E470&lt;=2),0.5,0))</f>
        <v>0</v>
      </c>
      <c r="Q470">
        <f>IF(AND(H470&gt;=5000,H470&lt;=6000),1,IF(AND(H470&gt;=4000,H470&lt;5000),0.5,0))</f>
        <v>0</v>
      </c>
      <c r="R470">
        <f>0.35*AVERAGE(L470:M470:N470)+0.3*O470+0.2*P470+0.15*Q470</f>
        <v>0</v>
      </c>
      <c r="S470" t="str">
        <f>LEFT(K470,1)</f>
        <v>M</v>
      </c>
      <c r="T470">
        <f>IF(S470="G",1,0)</f>
        <v>0</v>
      </c>
      <c r="U470">
        <f>IF(S470="K",1,0)</f>
        <v>0</v>
      </c>
      <c r="V470">
        <f>IF(S470="M",1,0)</f>
        <v>1</v>
      </c>
      <c r="W470">
        <f>IF(S470="F",1,0)</f>
        <v>0</v>
      </c>
    </row>
    <row r="471" spans="1:23" x14ac:dyDescent="0.3">
      <c r="A471" t="s">
        <v>274</v>
      </c>
      <c r="B471">
        <v>5.14</v>
      </c>
      <c r="C471">
        <v>14.95</v>
      </c>
      <c r="D471">
        <v>4.6747373000000003</v>
      </c>
      <c r="E471">
        <v>4.2999999999999997E-2</v>
      </c>
      <c r="F471">
        <v>582</v>
      </c>
      <c r="G471">
        <f>IF(OR(C471="",B471="",B471=0),"",5.51*(C471/(B471^3)))</f>
        <v>0.606601436629438</v>
      </c>
      <c r="H471">
        <v>3576</v>
      </c>
      <c r="I471">
        <v>3.66792037424356E-2</v>
      </c>
      <c r="J471">
        <v>9.9000000000000005E-2</v>
      </c>
      <c r="K471" t="s">
        <v>74</v>
      </c>
      <c r="L471">
        <f>IF(AND(B471&gt;=0.8,B471&lt;=1.5),1,IF(AND(B471&gt;=0.5,B471&lt;=2),0.5,0))</f>
        <v>0</v>
      </c>
      <c r="M471">
        <f>IF(AND(C471&gt;=0.5,C471&lt;=2),1,IF(AND(C471&gt;=0.1,C471&lt;=5),0.5,0))</f>
        <v>0</v>
      </c>
      <c r="N471">
        <f>IF(AND(G471&gt;=4,G471&lt;=7),1,IF(AND(G471&gt;=3,G471&lt;=8),0.5,0))</f>
        <v>0</v>
      </c>
      <c r="O471">
        <f>IF(AND(F471&gt;=270,F471&lt;=310),1,IF(AND(F471&gt;=250,F471&lt;=330),0.5,0))</f>
        <v>0</v>
      </c>
      <c r="P471">
        <f>IF(AND(E471&gt;=0.8,E471&lt;=1.5),1,IF(AND(E471&gt;=0.5,E471&lt;=2),0.5,0))</f>
        <v>0</v>
      </c>
      <c r="Q471">
        <f>IF(AND(H471&gt;=5000,H471&lt;=6000),1,IF(AND(H471&gt;=4000,H471&lt;5000),0.5,0))</f>
        <v>0</v>
      </c>
      <c r="R471">
        <f>0.35*AVERAGE(L471:M471:N471)+0.3*O471+0.2*P471+0.15*Q471</f>
        <v>0</v>
      </c>
      <c r="S471" t="str">
        <f>LEFT(K471,1)</f>
        <v>M</v>
      </c>
      <c r="T471">
        <f>IF(S471="G",1,0)</f>
        <v>0</v>
      </c>
      <c r="U471">
        <f>IF(S471="K",1,0)</f>
        <v>0</v>
      </c>
      <c r="V471">
        <f>IF(S471="M",1,0)</f>
        <v>1</v>
      </c>
      <c r="W471">
        <f>IF(S471="F",1,0)</f>
        <v>0</v>
      </c>
    </row>
    <row r="472" spans="1:23" x14ac:dyDescent="0.3">
      <c r="A472" t="s">
        <v>273</v>
      </c>
      <c r="B472">
        <v>18.494818160000001</v>
      </c>
      <c r="C472">
        <v>330.54154327999998</v>
      </c>
      <c r="D472">
        <v>2.8989726999999998</v>
      </c>
      <c r="E472">
        <v>4.2099999999999999E-2</v>
      </c>
      <c r="F472">
        <v>1646</v>
      </c>
      <c r="G472">
        <f>IF(OR(C472="",B472="",B472=0),"",5.51*(C472/(B472^3)))</f>
        <v>0.28789057834672094</v>
      </c>
      <c r="H472">
        <v>5772</v>
      </c>
      <c r="I472">
        <v>2.1460866393021876</v>
      </c>
      <c r="J472">
        <v>0.27800000000000002</v>
      </c>
      <c r="L472">
        <f>IF(AND(B472&gt;=0.8,B472&lt;=1.5),1,IF(AND(B472&gt;=0.5,B472&lt;=2),0.5,0))</f>
        <v>0</v>
      </c>
      <c r="M472">
        <f>IF(AND(C472&gt;=0.5,C472&lt;=2),1,IF(AND(C472&gt;=0.1,C472&lt;=5),0.5,0))</f>
        <v>0</v>
      </c>
      <c r="N472">
        <f>IF(AND(G472&gt;=4,G472&lt;=7),1,IF(AND(G472&gt;=3,G472&lt;=8),0.5,0))</f>
        <v>0</v>
      </c>
      <c r="O472">
        <f>IF(AND(F472&gt;=270,F472&lt;=310),1,IF(AND(F472&gt;=250,F472&lt;=330),0.5,0))</f>
        <v>0</v>
      </c>
      <c r="P472">
        <f>IF(AND(E472&gt;=0.8,E472&lt;=1.5),1,IF(AND(E472&gt;=0.5,E472&lt;=2),0.5,0))</f>
        <v>0</v>
      </c>
      <c r="Q472">
        <f>IF(AND(H472&gt;=5000,H472&lt;=6000),1,IF(AND(H472&gt;=4000,H472&lt;5000),0.5,0))</f>
        <v>1</v>
      </c>
      <c r="R472">
        <f>0.35*AVERAGE(L472:M472:N472)+0.3*O472+0.2*P472+0.15*Q472</f>
        <v>0.15</v>
      </c>
      <c r="S472" t="str">
        <f>LEFT(K472,1)</f>
        <v/>
      </c>
      <c r="T472">
        <f>IF(S472="G",1,0)</f>
        <v>0</v>
      </c>
      <c r="U472">
        <f>IF(S472="K",1,0)</f>
        <v>0</v>
      </c>
      <c r="V472">
        <f>IF(S472="M",1,0)</f>
        <v>0</v>
      </c>
      <c r="W472">
        <f>IF(S472="F",1,0)</f>
        <v>0</v>
      </c>
    </row>
    <row r="473" spans="1:23" x14ac:dyDescent="0.3">
      <c r="A473" t="s">
        <v>272</v>
      </c>
      <c r="B473">
        <v>13.136925379999999</v>
      </c>
      <c r="C473">
        <v>352.78953177</v>
      </c>
      <c r="D473">
        <v>3.2443141</v>
      </c>
      <c r="E473">
        <v>4.6109999999999998E-2</v>
      </c>
      <c r="F473">
        <v>1633</v>
      </c>
      <c r="G473">
        <f>IF(OR(C473="",B473="",B473=0),"",5.51*(C473/(B473^3)))</f>
        <v>0.85740515369961379</v>
      </c>
      <c r="H473">
        <v>5859</v>
      </c>
      <c r="I473">
        <v>2.5009010732655508</v>
      </c>
      <c r="J473">
        <v>0.27300000000000002</v>
      </c>
      <c r="L473">
        <f>IF(AND(B473&gt;=0.8,B473&lt;=1.5),1,IF(AND(B473&gt;=0.5,B473&lt;=2),0.5,0))</f>
        <v>0</v>
      </c>
      <c r="M473">
        <f>IF(AND(C473&gt;=0.5,C473&lt;=2),1,IF(AND(C473&gt;=0.1,C473&lt;=5),0.5,0))</f>
        <v>0</v>
      </c>
      <c r="N473">
        <f>IF(AND(G473&gt;=4,G473&lt;=7),1,IF(AND(G473&gt;=3,G473&lt;=8),0.5,0))</f>
        <v>0</v>
      </c>
      <c r="O473">
        <f>IF(AND(F473&gt;=270,F473&lt;=310),1,IF(AND(F473&gt;=250,F473&lt;=330),0.5,0))</f>
        <v>0</v>
      </c>
      <c r="P473">
        <f>IF(AND(E473&gt;=0.8,E473&lt;=1.5),1,IF(AND(E473&gt;=0.5,E473&lt;=2),0.5,0))</f>
        <v>0</v>
      </c>
      <c r="Q473">
        <f>IF(AND(H473&gt;=5000,H473&lt;=6000),1,IF(AND(H473&gt;=4000,H473&lt;5000),0.5,0))</f>
        <v>1</v>
      </c>
      <c r="R473">
        <f>0.35*AVERAGE(L473:M473:N473)+0.3*O473+0.2*P473+0.15*Q473</f>
        <v>0.15</v>
      </c>
      <c r="S473" t="str">
        <f>LEFT(K473,1)</f>
        <v/>
      </c>
      <c r="T473">
        <f>IF(S473="G",1,0)</f>
        <v>0</v>
      </c>
      <c r="U473">
        <f>IF(S473="K",1,0)</f>
        <v>0</v>
      </c>
      <c r="V473">
        <f>IF(S473="M",1,0)</f>
        <v>0</v>
      </c>
      <c r="W473">
        <f>IF(S473="F",1,0)</f>
        <v>0</v>
      </c>
    </row>
    <row r="474" spans="1:23" x14ac:dyDescent="0.3">
      <c r="A474" t="s">
        <v>271</v>
      </c>
      <c r="B474">
        <v>10.872711280000001</v>
      </c>
      <c r="C474">
        <v>187.51876013</v>
      </c>
      <c r="D474">
        <v>11.88865</v>
      </c>
      <c r="E474">
        <v>9.9000000000000005E-2</v>
      </c>
      <c r="F474">
        <v>1178</v>
      </c>
      <c r="G474">
        <f>IF(OR(C474="",B474="",B474=0),"",5.51*(C474/(B474^3)))</f>
        <v>0.80386432355122084</v>
      </c>
      <c r="H474">
        <v>5905</v>
      </c>
      <c r="I474">
        <v>1.5708399935284441</v>
      </c>
      <c r="J474">
        <v>-0.26</v>
      </c>
      <c r="L474">
        <f>IF(AND(B474&gt;=0.8,B474&lt;=1.5),1,IF(AND(B474&gt;=0.5,B474&lt;=2),0.5,0))</f>
        <v>0</v>
      </c>
      <c r="M474">
        <f>IF(AND(C474&gt;=0.5,C474&lt;=2),1,IF(AND(C474&gt;=0.1,C474&lt;=5),0.5,0))</f>
        <v>0</v>
      </c>
      <c r="N474">
        <f>IF(AND(G474&gt;=4,G474&lt;=7),1,IF(AND(G474&gt;=3,G474&lt;=8),0.5,0))</f>
        <v>0</v>
      </c>
      <c r="O474">
        <f>IF(AND(F474&gt;=270,F474&lt;=310),1,IF(AND(F474&gt;=250,F474&lt;=330),0.5,0))</f>
        <v>0</v>
      </c>
      <c r="P474">
        <f>IF(AND(E474&gt;=0.8,E474&lt;=1.5),1,IF(AND(E474&gt;=0.5,E474&lt;=2),0.5,0))</f>
        <v>0</v>
      </c>
      <c r="Q474">
        <f>IF(AND(H474&gt;=5000,H474&lt;=6000),1,IF(AND(H474&gt;=4000,H474&lt;5000),0.5,0))</f>
        <v>1</v>
      </c>
      <c r="R474">
        <f>0.35*AVERAGE(L474:M474:N474)+0.3*O474+0.2*P474+0.15*Q474</f>
        <v>0.15</v>
      </c>
      <c r="S474" t="str">
        <f>LEFT(K474,1)</f>
        <v/>
      </c>
      <c r="T474">
        <f>IF(S474="G",1,0)</f>
        <v>0</v>
      </c>
      <c r="U474">
        <f>IF(S474="K",1,0)</f>
        <v>0</v>
      </c>
      <c r="V474">
        <f>IF(S474="M",1,0)</f>
        <v>0</v>
      </c>
      <c r="W474">
        <f>IF(S474="F",1,0)</f>
        <v>0</v>
      </c>
    </row>
    <row r="475" spans="1:23" x14ac:dyDescent="0.3">
      <c r="A475" t="s">
        <v>270</v>
      </c>
      <c r="B475">
        <v>13.59649359</v>
      </c>
      <c r="C475">
        <v>171.62733978</v>
      </c>
      <c r="D475">
        <v>2.04360352</v>
      </c>
      <c r="E475">
        <v>3.2500000000000001E-2</v>
      </c>
      <c r="F475">
        <v>1544</v>
      </c>
      <c r="G475">
        <f>IF(OR(C475="",B475="",B475=0),"",5.51*(C475/(B475^3)))</f>
        <v>0.37623336164089471</v>
      </c>
      <c r="H475">
        <v>5622</v>
      </c>
      <c r="I475">
        <v>0.99760389088058332</v>
      </c>
      <c r="J475">
        <v>0.45400000000000001</v>
      </c>
      <c r="L475">
        <f>IF(AND(B475&gt;=0.8,B475&lt;=1.5),1,IF(AND(B475&gt;=0.5,B475&lt;=2),0.5,0))</f>
        <v>0</v>
      </c>
      <c r="M475">
        <f>IF(AND(C475&gt;=0.5,C475&lt;=2),1,IF(AND(C475&gt;=0.1,C475&lt;=5),0.5,0))</f>
        <v>0</v>
      </c>
      <c r="N475">
        <f>IF(AND(G475&gt;=4,G475&lt;=7),1,IF(AND(G475&gt;=3,G475&lt;=8),0.5,0))</f>
        <v>0</v>
      </c>
      <c r="O475">
        <f>IF(AND(F475&gt;=270,F475&lt;=310),1,IF(AND(F475&gt;=250,F475&lt;=330),0.5,0))</f>
        <v>0</v>
      </c>
      <c r="P475">
        <f>IF(AND(E475&gt;=0.8,E475&lt;=1.5),1,IF(AND(E475&gt;=0.5,E475&lt;=2),0.5,0))</f>
        <v>0</v>
      </c>
      <c r="Q475">
        <f>IF(AND(H475&gt;=5000,H475&lt;=6000),1,IF(AND(H475&gt;=4000,H475&lt;5000),0.5,0))</f>
        <v>1</v>
      </c>
      <c r="R475">
        <f>0.35*AVERAGE(L475:M475:N475)+0.3*O475+0.2*P475+0.15*Q475</f>
        <v>0.15</v>
      </c>
      <c r="S475" t="str">
        <f>LEFT(K475,1)</f>
        <v/>
      </c>
      <c r="T475">
        <f>IF(S475="G",1,0)</f>
        <v>0</v>
      </c>
      <c r="U475">
        <f>IF(S475="K",1,0)</f>
        <v>0</v>
      </c>
      <c r="V475">
        <f>IF(S475="M",1,0)</f>
        <v>0</v>
      </c>
      <c r="W475">
        <f>IF(S475="F",1,0)</f>
        <v>0</v>
      </c>
    </row>
    <row r="476" spans="1:23" x14ac:dyDescent="0.3">
      <c r="A476" t="s">
        <v>269</v>
      </c>
      <c r="B476">
        <v>11.679757889999999</v>
      </c>
      <c r="C476">
        <v>99.798119799999995</v>
      </c>
      <c r="D476">
        <v>4.123596</v>
      </c>
      <c r="E476">
        <v>5.2900000000000003E-2</v>
      </c>
      <c r="F476">
        <v>1445</v>
      </c>
      <c r="G476">
        <f>IF(OR(C476="",B476="",B476=0),"",5.51*(C476/(B476^3)))</f>
        <v>0.34512183507647815</v>
      </c>
      <c r="H476">
        <v>5731</v>
      </c>
      <c r="I476">
        <v>2.0209109542958137</v>
      </c>
      <c r="J476">
        <v>0.26900000000000002</v>
      </c>
      <c r="L476">
        <f>IF(AND(B476&gt;=0.8,B476&lt;=1.5),1,IF(AND(B476&gt;=0.5,B476&lt;=2),0.5,0))</f>
        <v>0</v>
      </c>
      <c r="M476">
        <f>IF(AND(C476&gt;=0.5,C476&lt;=2),1,IF(AND(C476&gt;=0.1,C476&lt;=5),0.5,0))</f>
        <v>0</v>
      </c>
      <c r="N476">
        <f>IF(AND(G476&gt;=4,G476&lt;=7),1,IF(AND(G476&gt;=3,G476&lt;=8),0.5,0))</f>
        <v>0</v>
      </c>
      <c r="O476">
        <f>IF(AND(F476&gt;=270,F476&lt;=310),1,IF(AND(F476&gt;=250,F476&lt;=330),0.5,0))</f>
        <v>0</v>
      </c>
      <c r="P476">
        <f>IF(AND(E476&gt;=0.8,E476&lt;=1.5),1,IF(AND(E476&gt;=0.5,E476&lt;=2),0.5,0))</f>
        <v>0</v>
      </c>
      <c r="Q476">
        <f>IF(AND(H476&gt;=5000,H476&lt;=6000),1,IF(AND(H476&gt;=4000,H476&lt;5000),0.5,0))</f>
        <v>1</v>
      </c>
      <c r="R476">
        <f>0.35*AVERAGE(L476:M476:N476)+0.3*O476+0.2*P476+0.15*Q476</f>
        <v>0.15</v>
      </c>
      <c r="S476" t="str">
        <f>LEFT(K476,1)</f>
        <v/>
      </c>
      <c r="T476">
        <f>IF(S476="G",1,0)</f>
        <v>0</v>
      </c>
      <c r="U476">
        <f>IF(S476="K",1,0)</f>
        <v>0</v>
      </c>
      <c r="V476">
        <f>IF(S476="M",1,0)</f>
        <v>0</v>
      </c>
      <c r="W476">
        <f>IF(S476="F",1,0)</f>
        <v>0</v>
      </c>
    </row>
    <row r="477" spans="1:23" x14ac:dyDescent="0.3">
      <c r="A477" t="s">
        <v>268</v>
      </c>
      <c r="B477">
        <v>6.43</v>
      </c>
      <c r="C477">
        <v>32.590000000000003</v>
      </c>
      <c r="D477">
        <v>4.5445827999999997</v>
      </c>
      <c r="E477">
        <v>3.61E-2</v>
      </c>
      <c r="F477">
        <v>441</v>
      </c>
      <c r="G477">
        <f>IF(OR(C477="",B477="",B477=0),"",5.51*(C477/(B477^3)))</f>
        <v>0.67546529562506274</v>
      </c>
      <c r="H477">
        <v>3180</v>
      </c>
      <c r="I477">
        <v>8.3678178091778996E-3</v>
      </c>
      <c r="J477">
        <v>0.04</v>
      </c>
      <c r="L477">
        <f>IF(AND(B477&gt;=0.8,B477&lt;=1.5),1,IF(AND(B477&gt;=0.5,B477&lt;=2),0.5,0))</f>
        <v>0</v>
      </c>
      <c r="M477">
        <f>IF(AND(C477&gt;=0.5,C477&lt;=2),1,IF(AND(C477&gt;=0.1,C477&lt;=5),0.5,0))</f>
        <v>0</v>
      </c>
      <c r="N477">
        <f>IF(AND(G477&gt;=4,G477&lt;=7),1,IF(AND(G477&gt;=3,G477&lt;=8),0.5,0))</f>
        <v>0</v>
      </c>
      <c r="O477">
        <f>IF(AND(F477&gt;=270,F477&lt;=310),1,IF(AND(F477&gt;=250,F477&lt;=330),0.5,0))</f>
        <v>0</v>
      </c>
      <c r="P477">
        <f>IF(AND(E477&gt;=0.8,E477&lt;=1.5),1,IF(AND(E477&gt;=0.5,E477&lt;=2),0.5,0))</f>
        <v>0</v>
      </c>
      <c r="Q477">
        <f>IF(AND(H477&gt;=5000,H477&lt;=6000),1,IF(AND(H477&gt;=4000,H477&lt;5000),0.5,0))</f>
        <v>0</v>
      </c>
      <c r="R477">
        <f>0.35*AVERAGE(L477:M477:N477)+0.3*O477+0.2*P477+0.15*Q477</f>
        <v>0</v>
      </c>
      <c r="S477" t="str">
        <f>LEFT(K477,1)</f>
        <v/>
      </c>
      <c r="T477">
        <f>IF(S477="G",1,0)</f>
        <v>0</v>
      </c>
      <c r="U477">
        <f>IF(S477="K",1,0)</f>
        <v>0</v>
      </c>
      <c r="V477">
        <f>IF(S477="M",1,0)</f>
        <v>0</v>
      </c>
      <c r="W477">
        <f>IF(S477="F",1,0)</f>
        <v>0</v>
      </c>
    </row>
    <row r="478" spans="1:23" x14ac:dyDescent="0.3">
      <c r="A478" t="s">
        <v>267</v>
      </c>
      <c r="B478">
        <v>15.27784069</v>
      </c>
      <c r="C478">
        <v>260.61929373999999</v>
      </c>
      <c r="D478">
        <v>4.3345399999999996</v>
      </c>
      <c r="E478">
        <v>5.3539999999999997E-2</v>
      </c>
      <c r="F478">
        <v>1531</v>
      </c>
      <c r="G478">
        <f>IF(OR(C478="",B478="",B478=0),"",5.51*(C478/(B478^3)))</f>
        <v>0.40269128531257975</v>
      </c>
      <c r="H478">
        <v>6000</v>
      </c>
      <c r="I478">
        <v>2.6232200121323963</v>
      </c>
      <c r="J478">
        <v>2.1000000000000001E-2</v>
      </c>
      <c r="L478">
        <f>IF(AND(B478&gt;=0.8,B478&lt;=1.5),1,IF(AND(B478&gt;=0.5,B478&lt;=2),0.5,0))</f>
        <v>0</v>
      </c>
      <c r="M478">
        <f>IF(AND(C478&gt;=0.5,C478&lt;=2),1,IF(AND(C478&gt;=0.1,C478&lt;=5),0.5,0))</f>
        <v>0</v>
      </c>
      <c r="N478">
        <f>IF(AND(G478&gt;=4,G478&lt;=7),1,IF(AND(G478&gt;=3,G478&lt;=8),0.5,0))</f>
        <v>0</v>
      </c>
      <c r="O478">
        <f>IF(AND(F478&gt;=270,F478&lt;=310),1,IF(AND(F478&gt;=250,F478&lt;=330),0.5,0))</f>
        <v>0</v>
      </c>
      <c r="P478">
        <f>IF(AND(E478&gt;=0.8,E478&lt;=1.5),1,IF(AND(E478&gt;=0.5,E478&lt;=2),0.5,0))</f>
        <v>0</v>
      </c>
      <c r="Q478">
        <f>IF(AND(H478&gt;=5000,H478&lt;=6000),1,IF(AND(H478&gt;=4000,H478&lt;5000),0.5,0))</f>
        <v>1</v>
      </c>
      <c r="R478">
        <f>0.35*AVERAGE(L478:M478:N478)+0.3*O478+0.2*P478+0.15*Q478</f>
        <v>0.15</v>
      </c>
      <c r="S478" t="str">
        <f>LEFT(K478,1)</f>
        <v/>
      </c>
      <c r="T478">
        <f>IF(S478="G",1,0)</f>
        <v>0</v>
      </c>
      <c r="U478">
        <f>IF(S478="K",1,0)</f>
        <v>0</v>
      </c>
      <c r="V478">
        <f>IF(S478="M",1,0)</f>
        <v>0</v>
      </c>
      <c r="W478">
        <f>IF(S478="F",1,0)</f>
        <v>0</v>
      </c>
    </row>
    <row r="479" spans="1:23" x14ac:dyDescent="0.3">
      <c r="A479" t="s">
        <v>266</v>
      </c>
      <c r="B479">
        <v>14.28024141</v>
      </c>
      <c r="C479">
        <v>129.03833323999999</v>
      </c>
      <c r="D479">
        <v>3.4936264000000001</v>
      </c>
      <c r="E479">
        <v>4.6300000000000001E-2</v>
      </c>
      <c r="F479">
        <v>1512</v>
      </c>
      <c r="G479">
        <f>IF(OR(C479="",B479="",B479=0),"",5.51*(C479/(B479^3)))</f>
        <v>0.24415391670174152</v>
      </c>
      <c r="H479">
        <v>5725</v>
      </c>
      <c r="I479">
        <v>1.8675415997441756</v>
      </c>
      <c r="J479">
        <v>0.187</v>
      </c>
      <c r="L479">
        <f>IF(AND(B479&gt;=0.8,B479&lt;=1.5),1,IF(AND(B479&gt;=0.5,B479&lt;=2),0.5,0))</f>
        <v>0</v>
      </c>
      <c r="M479">
        <f>IF(AND(C479&gt;=0.5,C479&lt;=2),1,IF(AND(C479&gt;=0.1,C479&lt;=5),0.5,0))</f>
        <v>0</v>
      </c>
      <c r="N479">
        <f>IF(AND(G479&gt;=4,G479&lt;=7),1,IF(AND(G479&gt;=3,G479&lt;=8),0.5,0))</f>
        <v>0</v>
      </c>
      <c r="O479">
        <f>IF(AND(F479&gt;=270,F479&lt;=310),1,IF(AND(F479&gt;=250,F479&lt;=330),0.5,0))</f>
        <v>0</v>
      </c>
      <c r="P479">
        <f>IF(AND(E479&gt;=0.8,E479&lt;=1.5),1,IF(AND(E479&gt;=0.5,E479&lt;=2),0.5,0))</f>
        <v>0</v>
      </c>
      <c r="Q479">
        <f>IF(AND(H479&gt;=5000,H479&lt;=6000),1,IF(AND(H479&gt;=4000,H479&lt;5000),0.5,0))</f>
        <v>1</v>
      </c>
      <c r="R479">
        <f>0.35*AVERAGE(L479:M479:N479)+0.3*O479+0.2*P479+0.15*Q479</f>
        <v>0.15</v>
      </c>
      <c r="S479" t="str">
        <f>LEFT(K479,1)</f>
        <v/>
      </c>
      <c r="T479">
        <f>IF(S479="G",1,0)</f>
        <v>0</v>
      </c>
      <c r="U479">
        <f>IF(S479="K",1,0)</f>
        <v>0</v>
      </c>
      <c r="V479">
        <f>IF(S479="M",1,0)</f>
        <v>0</v>
      </c>
      <c r="W479">
        <f>IF(S479="F",1,0)</f>
        <v>0</v>
      </c>
    </row>
    <row r="480" spans="1:23" x14ac:dyDescent="0.3">
      <c r="A480" t="s">
        <v>265</v>
      </c>
      <c r="B480">
        <v>12.31866979</v>
      </c>
      <c r="C480">
        <v>1233.1742191599999</v>
      </c>
      <c r="D480">
        <v>7.4332339999999997</v>
      </c>
      <c r="E480">
        <v>7.9500000000000001E-2</v>
      </c>
      <c r="F480">
        <v>1198</v>
      </c>
      <c r="G480">
        <f>IF(OR(C480="",B480="",B480=0),"",5.51*(C480/(B480^3)))</f>
        <v>3.6348341033803679</v>
      </c>
      <c r="H480">
        <v>6100</v>
      </c>
      <c r="I480">
        <v>2.1612190208556235</v>
      </c>
      <c r="J480">
        <v>0.17499999999999999</v>
      </c>
      <c r="L480">
        <f>IF(AND(B480&gt;=0.8,B480&lt;=1.5),1,IF(AND(B480&gt;=0.5,B480&lt;=2),0.5,0))</f>
        <v>0</v>
      </c>
      <c r="M480">
        <f>IF(AND(C480&gt;=0.5,C480&lt;=2),1,IF(AND(C480&gt;=0.1,C480&lt;=5),0.5,0))</f>
        <v>0</v>
      </c>
      <c r="N480">
        <f>IF(AND(G480&gt;=4,G480&lt;=7),1,IF(AND(G480&gt;=3,G480&lt;=8),0.5,0))</f>
        <v>0.5</v>
      </c>
      <c r="O480">
        <f>IF(AND(F480&gt;=270,F480&lt;=310),1,IF(AND(F480&gt;=250,F480&lt;=330),0.5,0))</f>
        <v>0</v>
      </c>
      <c r="P480">
        <f>IF(AND(E480&gt;=0.8,E480&lt;=1.5),1,IF(AND(E480&gt;=0.5,E480&lt;=2),0.5,0))</f>
        <v>0</v>
      </c>
      <c r="Q480">
        <f>IF(AND(H480&gt;=5000,H480&lt;=6000),1,IF(AND(H480&gt;=4000,H480&lt;5000),0.5,0))</f>
        <v>0</v>
      </c>
      <c r="R480">
        <f>0.35*AVERAGE(L480:M480:N480)+0.3*O480+0.2*P480+0.15*Q480</f>
        <v>5.8333333333333327E-2</v>
      </c>
      <c r="S480" t="str">
        <f>LEFT(K480,1)</f>
        <v/>
      </c>
      <c r="T480">
        <f>IF(S480="G",1,0)</f>
        <v>0</v>
      </c>
      <c r="U480">
        <f>IF(S480="K",1,0)</f>
        <v>0</v>
      </c>
      <c r="V480">
        <f>IF(S480="M",1,0)</f>
        <v>0</v>
      </c>
      <c r="W480">
        <f>IF(S480="F",1,0)</f>
        <v>0</v>
      </c>
    </row>
    <row r="481" spans="1:23" x14ac:dyDescent="0.3">
      <c r="A481" t="s">
        <v>264</v>
      </c>
      <c r="B481">
        <v>12.273833870000001</v>
      </c>
      <c r="C481">
        <v>55.619971229999997</v>
      </c>
      <c r="D481">
        <v>6.6076620000000004</v>
      </c>
      <c r="E481">
        <v>7.4300000000000005E-2</v>
      </c>
      <c r="F481">
        <v>1295</v>
      </c>
      <c r="G481">
        <f>IF(OR(C481="",B481="",B481=0),"",5.51*(C481/(B481^3)))</f>
        <v>0.16574545823797809</v>
      </c>
      <c r="H481">
        <v>5975</v>
      </c>
      <c r="I481">
        <v>2.5763381998773989</v>
      </c>
      <c r="J481">
        <v>0.182</v>
      </c>
      <c r="L481">
        <f>IF(AND(B481&gt;=0.8,B481&lt;=1.5),1,IF(AND(B481&gt;=0.5,B481&lt;=2),0.5,0))</f>
        <v>0</v>
      </c>
      <c r="M481">
        <f>IF(AND(C481&gt;=0.5,C481&lt;=2),1,IF(AND(C481&gt;=0.1,C481&lt;=5),0.5,0))</f>
        <v>0</v>
      </c>
      <c r="N481">
        <f>IF(AND(G481&gt;=4,G481&lt;=7),1,IF(AND(G481&gt;=3,G481&lt;=8),0.5,0))</f>
        <v>0</v>
      </c>
      <c r="O481">
        <f>IF(AND(F481&gt;=270,F481&lt;=310),1,IF(AND(F481&gt;=250,F481&lt;=330),0.5,0))</f>
        <v>0</v>
      </c>
      <c r="P481">
        <f>IF(AND(E481&gt;=0.8,E481&lt;=1.5),1,IF(AND(E481&gt;=0.5,E481&lt;=2),0.5,0))</f>
        <v>0</v>
      </c>
      <c r="Q481">
        <f>IF(AND(H481&gt;=5000,H481&lt;=6000),1,IF(AND(H481&gt;=4000,H481&lt;5000),0.5,0))</f>
        <v>1</v>
      </c>
      <c r="R481">
        <f>0.35*AVERAGE(L481:M481:N481)+0.3*O481+0.2*P481+0.15*Q481</f>
        <v>0.15</v>
      </c>
      <c r="S481" t="str">
        <f>LEFT(K481,1)</f>
        <v/>
      </c>
      <c r="T481">
        <f>IF(S481="G",1,0)</f>
        <v>0</v>
      </c>
      <c r="U481">
        <f>IF(S481="K",1,0)</f>
        <v>0</v>
      </c>
      <c r="V481">
        <f>IF(S481="M",1,0)</f>
        <v>0</v>
      </c>
      <c r="W481">
        <f>IF(S481="F",1,0)</f>
        <v>0</v>
      </c>
    </row>
    <row r="482" spans="1:23" x14ac:dyDescent="0.3">
      <c r="A482" t="s">
        <v>263</v>
      </c>
      <c r="B482">
        <v>14.4595851</v>
      </c>
      <c r="C482">
        <v>187.51876013</v>
      </c>
      <c r="D482">
        <v>3.6089254</v>
      </c>
      <c r="E482">
        <v>4.9399999999999999E-2</v>
      </c>
      <c r="F482">
        <v>1621</v>
      </c>
      <c r="G482">
        <f>IF(OR(C482="",B482="",B482=0),"",5.51*(C482/(B482^3)))</f>
        <v>0.34176597747859511</v>
      </c>
      <c r="H482">
        <v>5840</v>
      </c>
      <c r="I482">
        <v>2.7591945334648877</v>
      </c>
      <c r="J482">
        <v>0.188</v>
      </c>
      <c r="L482">
        <f>IF(AND(B482&gt;=0.8,B482&lt;=1.5),1,IF(AND(B482&gt;=0.5,B482&lt;=2),0.5,0))</f>
        <v>0</v>
      </c>
      <c r="M482">
        <f>IF(AND(C482&gt;=0.5,C482&lt;=2),1,IF(AND(C482&gt;=0.1,C482&lt;=5),0.5,0))</f>
        <v>0</v>
      </c>
      <c r="N482">
        <f>IF(AND(G482&gt;=4,G482&lt;=7),1,IF(AND(G482&gt;=3,G482&lt;=8),0.5,0))</f>
        <v>0</v>
      </c>
      <c r="O482">
        <f>IF(AND(F482&gt;=270,F482&lt;=310),1,IF(AND(F482&gt;=250,F482&lt;=330),0.5,0))</f>
        <v>0</v>
      </c>
      <c r="P482">
        <f>IF(AND(E482&gt;=0.8,E482&lt;=1.5),1,IF(AND(E482&gt;=0.5,E482&lt;=2),0.5,0))</f>
        <v>0</v>
      </c>
      <c r="Q482">
        <f>IF(AND(H482&gt;=5000,H482&lt;=6000),1,IF(AND(H482&gt;=4000,H482&lt;5000),0.5,0))</f>
        <v>1</v>
      </c>
      <c r="R482">
        <f>0.35*AVERAGE(L482:M482:N482)+0.3*O482+0.2*P482+0.15*Q482</f>
        <v>0.15</v>
      </c>
      <c r="S482" t="str">
        <f>LEFT(K482,1)</f>
        <v/>
      </c>
      <c r="T482">
        <f>IF(S482="G",1,0)</f>
        <v>0</v>
      </c>
      <c r="U482">
        <f>IF(S482="K",1,0)</f>
        <v>0</v>
      </c>
      <c r="V482">
        <f>IF(S482="M",1,0)</f>
        <v>0</v>
      </c>
      <c r="W482">
        <f>IF(S482="F",1,0)</f>
        <v>0</v>
      </c>
    </row>
    <row r="483" spans="1:23" x14ac:dyDescent="0.3">
      <c r="A483" t="s">
        <v>262</v>
      </c>
      <c r="B483">
        <v>7.9</v>
      </c>
      <c r="C483">
        <v>44</v>
      </c>
      <c r="D483">
        <v>4.353326</v>
      </c>
      <c r="E483">
        <v>4.1000000000000002E-2</v>
      </c>
      <c r="F483">
        <v>563</v>
      </c>
      <c r="G483">
        <f>IF(OR(C483="",B483="",B483=0),"",5.51*(C483/(B483^3)))</f>
        <v>0.49172580668060734</v>
      </c>
      <c r="H483">
        <v>3476</v>
      </c>
      <c r="I483">
        <v>2.8933744156723257E-2</v>
      </c>
      <c r="J483">
        <v>0.18</v>
      </c>
      <c r="K483" t="s">
        <v>261</v>
      </c>
      <c r="L483">
        <f>IF(AND(B483&gt;=0.8,B483&lt;=1.5),1,IF(AND(B483&gt;=0.5,B483&lt;=2),0.5,0))</f>
        <v>0</v>
      </c>
      <c r="M483">
        <f>IF(AND(C483&gt;=0.5,C483&lt;=2),1,IF(AND(C483&gt;=0.1,C483&lt;=5),0.5,0))</f>
        <v>0</v>
      </c>
      <c r="N483">
        <f>IF(AND(G483&gt;=4,G483&lt;=7),1,IF(AND(G483&gt;=3,G483&lt;=8),0.5,0))</f>
        <v>0</v>
      </c>
      <c r="O483">
        <f>IF(AND(F483&gt;=270,F483&lt;=310),1,IF(AND(F483&gt;=250,F483&lt;=330),0.5,0))</f>
        <v>0</v>
      </c>
      <c r="P483">
        <f>IF(AND(E483&gt;=0.8,E483&lt;=1.5),1,IF(AND(E483&gt;=0.5,E483&lt;=2),0.5,0))</f>
        <v>0</v>
      </c>
      <c r="Q483">
        <f>IF(AND(H483&gt;=5000,H483&lt;=6000),1,IF(AND(H483&gt;=4000,H483&lt;5000),0.5,0))</f>
        <v>0</v>
      </c>
      <c r="R483">
        <f>0.35*AVERAGE(L483:M483:N483)+0.3*O483+0.2*P483+0.15*Q483</f>
        <v>0</v>
      </c>
      <c r="S483" t="str">
        <f>LEFT(K483,1)</f>
        <v>M</v>
      </c>
      <c r="T483">
        <f>IF(S483="G",1,0)</f>
        <v>0</v>
      </c>
      <c r="U483">
        <f>IF(S483="K",1,0)</f>
        <v>0</v>
      </c>
      <c r="V483">
        <f>IF(S483="M",1,0)</f>
        <v>1</v>
      </c>
      <c r="W483">
        <f>IF(S483="F",1,0)</f>
        <v>0</v>
      </c>
    </row>
    <row r="484" spans="1:23" x14ac:dyDescent="0.3">
      <c r="A484" t="s">
        <v>260</v>
      </c>
      <c r="B484">
        <v>3.02</v>
      </c>
      <c r="C484">
        <v>11</v>
      </c>
      <c r="D484">
        <v>1.3483350000000001</v>
      </c>
      <c r="E484">
        <v>2.29E-2</v>
      </c>
      <c r="F484">
        <v>1441</v>
      </c>
      <c r="G484">
        <f>IF(OR(C484="",B484="",B484=0),"",5.51*(C484/(B484^3)))</f>
        <v>2.2005105503970288</v>
      </c>
      <c r="H484">
        <v>4960</v>
      </c>
      <c r="I484">
        <v>0.37408710724583699</v>
      </c>
      <c r="J484">
        <v>0.37</v>
      </c>
      <c r="K484" t="s">
        <v>7</v>
      </c>
      <c r="L484">
        <f>IF(AND(B484&gt;=0.8,B484&lt;=1.5),1,IF(AND(B484&gt;=0.5,B484&lt;=2),0.5,0))</f>
        <v>0</v>
      </c>
      <c r="M484">
        <f>IF(AND(C484&gt;=0.5,C484&lt;=2),1,IF(AND(C484&gt;=0.1,C484&lt;=5),0.5,0))</f>
        <v>0</v>
      </c>
      <c r="N484">
        <f>IF(AND(G484&gt;=4,G484&lt;=7),1,IF(AND(G484&gt;=3,G484&lt;=8),0.5,0))</f>
        <v>0</v>
      </c>
      <c r="O484">
        <f>IF(AND(F484&gt;=270,F484&lt;=310),1,IF(AND(F484&gt;=250,F484&lt;=330),0.5,0))</f>
        <v>0</v>
      </c>
      <c r="P484">
        <f>IF(AND(E484&gt;=0.8,E484&lt;=1.5),1,IF(AND(E484&gt;=0.5,E484&lt;=2),0.5,0))</f>
        <v>0</v>
      </c>
      <c r="Q484">
        <f>IF(AND(H484&gt;=5000,H484&lt;=6000),1,IF(AND(H484&gt;=4000,H484&lt;5000),0.5,0))</f>
        <v>0.5</v>
      </c>
      <c r="R484">
        <f>0.35*AVERAGE(L484:M484:N484)+0.3*O484+0.2*P484+0.15*Q484</f>
        <v>7.4999999999999997E-2</v>
      </c>
      <c r="S484" t="str">
        <f>LEFT(K484,1)</f>
        <v>K</v>
      </c>
      <c r="T484">
        <f>IF(S484="G",1,0)</f>
        <v>0</v>
      </c>
      <c r="U484">
        <f>IF(S484="K",1,0)</f>
        <v>1</v>
      </c>
      <c r="V484">
        <f>IF(S484="M",1,0)</f>
        <v>0</v>
      </c>
      <c r="W484">
        <f>IF(S484="F",1,0)</f>
        <v>0</v>
      </c>
    </row>
    <row r="485" spans="1:23" x14ac:dyDescent="0.3">
      <c r="A485" t="s">
        <v>259</v>
      </c>
      <c r="B485">
        <v>5.93</v>
      </c>
      <c r="C485">
        <v>20.309999999999999</v>
      </c>
      <c r="D485">
        <v>5.4146539999999996</v>
      </c>
      <c r="E485">
        <v>5.8000000000000003E-2</v>
      </c>
      <c r="F485">
        <v>907</v>
      </c>
      <c r="G485">
        <f>IF(OR(C485="",B485="",B485=0),"",5.51*(C485/(B485^3)))</f>
        <v>0.53665779531796565</v>
      </c>
      <c r="H485">
        <v>4960</v>
      </c>
      <c r="I485">
        <v>0.37408710724583699</v>
      </c>
      <c r="J485">
        <v>0.37</v>
      </c>
      <c r="K485" t="s">
        <v>7</v>
      </c>
      <c r="L485">
        <f>IF(AND(B485&gt;=0.8,B485&lt;=1.5),1,IF(AND(B485&gt;=0.5,B485&lt;=2),0.5,0))</f>
        <v>0</v>
      </c>
      <c r="M485">
        <f>IF(AND(C485&gt;=0.5,C485&lt;=2),1,IF(AND(C485&gt;=0.1,C485&lt;=5),0.5,0))</f>
        <v>0</v>
      </c>
      <c r="N485">
        <f>IF(AND(G485&gt;=4,G485&lt;=7),1,IF(AND(G485&gt;=3,G485&lt;=8),0.5,0))</f>
        <v>0</v>
      </c>
      <c r="O485">
        <f>IF(AND(F485&gt;=270,F485&lt;=310),1,IF(AND(F485&gt;=250,F485&lt;=330),0.5,0))</f>
        <v>0</v>
      </c>
      <c r="P485">
        <f>IF(AND(E485&gt;=0.8,E485&lt;=1.5),1,IF(AND(E485&gt;=0.5,E485&lt;=2),0.5,0))</f>
        <v>0</v>
      </c>
      <c r="Q485">
        <f>IF(AND(H485&gt;=5000,H485&lt;=6000),1,IF(AND(H485&gt;=4000,H485&lt;5000),0.5,0))</f>
        <v>0.5</v>
      </c>
      <c r="R485">
        <f>0.35*AVERAGE(L485:M485:N485)+0.3*O485+0.2*P485+0.15*Q485</f>
        <v>7.4999999999999997E-2</v>
      </c>
      <c r="S485" t="str">
        <f>LEFT(K485,1)</f>
        <v>K</v>
      </c>
      <c r="T485">
        <f>IF(S485="G",1,0)</f>
        <v>0</v>
      </c>
      <c r="U485">
        <f>IF(S485="K",1,0)</f>
        <v>1</v>
      </c>
      <c r="V485">
        <f>IF(S485="M",1,0)</f>
        <v>0</v>
      </c>
      <c r="W485">
        <f>IF(S485="F",1,0)</f>
        <v>0</v>
      </c>
    </row>
    <row r="486" spans="1:23" x14ac:dyDescent="0.3">
      <c r="A486" t="s">
        <v>258</v>
      </c>
      <c r="B486">
        <v>6.18</v>
      </c>
      <c r="C486">
        <v>38.15</v>
      </c>
      <c r="D486">
        <v>14.70886</v>
      </c>
      <c r="E486">
        <v>0.113</v>
      </c>
      <c r="F486">
        <v>650</v>
      </c>
      <c r="G486">
        <f>IF(OR(C486="",B486="",B486=0),"",5.51*(C486/(B486^3)))</f>
        <v>0.89059595007787007</v>
      </c>
      <c r="H486">
        <v>4960</v>
      </c>
      <c r="I486">
        <v>0.37408710724583699</v>
      </c>
      <c r="J486">
        <v>0.37</v>
      </c>
      <c r="K486" t="s">
        <v>7</v>
      </c>
      <c r="L486">
        <f>IF(AND(B486&gt;=0.8,B486&lt;=1.5),1,IF(AND(B486&gt;=0.5,B486&lt;=2),0.5,0))</f>
        <v>0</v>
      </c>
      <c r="M486">
        <f>IF(AND(C486&gt;=0.5,C486&lt;=2),1,IF(AND(C486&gt;=0.1,C486&lt;=5),0.5,0))</f>
        <v>0</v>
      </c>
      <c r="N486">
        <f>IF(AND(G486&gt;=4,G486&lt;=7),1,IF(AND(G486&gt;=3,G486&lt;=8),0.5,0))</f>
        <v>0</v>
      </c>
      <c r="O486">
        <f>IF(AND(F486&gt;=270,F486&lt;=310),1,IF(AND(F486&gt;=250,F486&lt;=330),0.5,0))</f>
        <v>0</v>
      </c>
      <c r="P486">
        <f>IF(AND(E486&gt;=0.8,E486&lt;=1.5),1,IF(AND(E486&gt;=0.5,E486&lt;=2),0.5,0))</f>
        <v>0</v>
      </c>
      <c r="Q486">
        <f>IF(AND(H486&gt;=5000,H486&lt;=6000),1,IF(AND(H486&gt;=4000,H486&lt;5000),0.5,0))</f>
        <v>0.5</v>
      </c>
      <c r="R486">
        <f>0.35*AVERAGE(L486:M486:N486)+0.3*O486+0.2*P486+0.15*Q486</f>
        <v>7.4999999999999997E-2</v>
      </c>
      <c r="S486" t="str">
        <f>LEFT(K486,1)</f>
        <v>K</v>
      </c>
      <c r="T486">
        <f>IF(S486="G",1,0)</f>
        <v>0</v>
      </c>
      <c r="U486">
        <f>IF(S486="K",1,0)</f>
        <v>1</v>
      </c>
      <c r="V486">
        <f>IF(S486="M",1,0)</f>
        <v>0</v>
      </c>
      <c r="W486">
        <f>IF(S486="F",1,0)</f>
        <v>0</v>
      </c>
    </row>
    <row r="487" spans="1:23" x14ac:dyDescent="0.3">
      <c r="A487" t="s">
        <v>257</v>
      </c>
      <c r="B487">
        <v>1.32</v>
      </c>
      <c r="C487">
        <v>2.08</v>
      </c>
      <c r="D487">
        <v>3.3074409999999999</v>
      </c>
      <c r="E487">
        <v>3.2199999999999999E-2</v>
      </c>
      <c r="F487">
        <v>584</v>
      </c>
      <c r="G487">
        <f>IF(OR(C487="",B487="",B487=0),"",5.51*(C487/(B487^3)))</f>
        <v>4.9830258507944452</v>
      </c>
      <c r="H487">
        <v>3392</v>
      </c>
      <c r="I487">
        <v>1.9965534339266632E-2</v>
      </c>
      <c r="J487">
        <v>-0.02</v>
      </c>
      <c r="K487" t="s">
        <v>10</v>
      </c>
      <c r="L487">
        <f>IF(AND(B487&gt;=0.8,B487&lt;=1.5),1,IF(AND(B487&gt;=0.5,B487&lt;=2),0.5,0))</f>
        <v>1</v>
      </c>
      <c r="M487">
        <f>IF(AND(C487&gt;=0.5,C487&lt;=2),1,IF(AND(C487&gt;=0.1,C487&lt;=5),0.5,0))</f>
        <v>0.5</v>
      </c>
      <c r="N487">
        <f>IF(AND(G487&gt;=4,G487&lt;=7),1,IF(AND(G487&gt;=3,G487&lt;=8),0.5,0))</f>
        <v>1</v>
      </c>
      <c r="O487">
        <f>IF(AND(F487&gt;=270,F487&lt;=310),1,IF(AND(F487&gt;=250,F487&lt;=330),0.5,0))</f>
        <v>0</v>
      </c>
      <c r="P487">
        <f>IF(AND(E487&gt;=0.8,E487&lt;=1.5),1,IF(AND(E487&gt;=0.5,E487&lt;=2),0.5,0))</f>
        <v>0</v>
      </c>
      <c r="Q487">
        <f>IF(AND(H487&gt;=5000,H487&lt;=6000),1,IF(AND(H487&gt;=4000,H487&lt;5000),0.5,0))</f>
        <v>0</v>
      </c>
      <c r="R487">
        <f>0.35*AVERAGE(L487:M487:N487)+0.3*O487+0.2*P487+0.15*Q487</f>
        <v>0.29166666666666669</v>
      </c>
      <c r="S487" t="str">
        <f>LEFT(K487,1)</f>
        <v>M</v>
      </c>
      <c r="T487">
        <f>IF(S487="G",1,0)</f>
        <v>0</v>
      </c>
      <c r="U487">
        <f>IF(S487="K",1,0)</f>
        <v>0</v>
      </c>
      <c r="V487">
        <f>IF(S487="M",1,0)</f>
        <v>1</v>
      </c>
      <c r="W487">
        <f>IF(S487="F",1,0)</f>
        <v>0</v>
      </c>
    </row>
    <row r="488" spans="1:23" x14ac:dyDescent="0.3">
      <c r="A488" t="s">
        <v>256</v>
      </c>
      <c r="B488">
        <v>2.08</v>
      </c>
      <c r="C488">
        <v>6.57</v>
      </c>
      <c r="D488">
        <v>13.175682</v>
      </c>
      <c r="E488">
        <v>8.09E-2</v>
      </c>
      <c r="F488">
        <v>368</v>
      </c>
      <c r="G488">
        <f>IF(OR(C488="",B488="",B488=0),"",5.51*(C488/(B488^3)))</f>
        <v>4.0227863101672732</v>
      </c>
      <c r="H488">
        <v>3392</v>
      </c>
      <c r="I488">
        <v>1.9965534339266632E-2</v>
      </c>
      <c r="J488">
        <v>-0.02</v>
      </c>
      <c r="K488" t="s">
        <v>10</v>
      </c>
      <c r="L488">
        <f>IF(AND(B488&gt;=0.8,B488&lt;=1.5),1,IF(AND(B488&gt;=0.5,B488&lt;=2),0.5,0))</f>
        <v>0</v>
      </c>
      <c r="M488">
        <f>IF(AND(C488&gt;=0.5,C488&lt;=2),1,IF(AND(C488&gt;=0.1,C488&lt;=5),0.5,0))</f>
        <v>0</v>
      </c>
      <c r="N488">
        <f>IF(AND(G488&gt;=4,G488&lt;=7),1,IF(AND(G488&gt;=3,G488&lt;=8),0.5,0))</f>
        <v>1</v>
      </c>
      <c r="O488">
        <f>IF(AND(F488&gt;=270,F488&lt;=310),1,IF(AND(F488&gt;=250,F488&lt;=330),0.5,0))</f>
        <v>0</v>
      </c>
      <c r="P488">
        <f>IF(AND(E488&gt;=0.8,E488&lt;=1.5),1,IF(AND(E488&gt;=0.5,E488&lt;=2),0.5,0))</f>
        <v>0</v>
      </c>
      <c r="Q488">
        <f>IF(AND(H488&gt;=5000,H488&lt;=6000),1,IF(AND(H488&gt;=4000,H488&lt;5000),0.5,0))</f>
        <v>0</v>
      </c>
      <c r="R488">
        <f>0.35*AVERAGE(L488:M488:N488)+0.3*O488+0.2*P488+0.15*Q488</f>
        <v>0.11666666666666665</v>
      </c>
      <c r="S488" t="str">
        <f>LEFT(K488,1)</f>
        <v>M</v>
      </c>
      <c r="T488">
        <f>IF(S488="G",1,0)</f>
        <v>0</v>
      </c>
      <c r="U488">
        <f>IF(S488="K",1,0)</f>
        <v>0</v>
      </c>
      <c r="V488">
        <f>IF(S488="M",1,0)</f>
        <v>1</v>
      </c>
      <c r="W488">
        <f>IF(S488="F",1,0)</f>
        <v>0</v>
      </c>
    </row>
    <row r="489" spans="1:23" x14ac:dyDescent="0.3">
      <c r="A489" t="s">
        <v>255</v>
      </c>
      <c r="B489">
        <v>13.047253530000001</v>
      </c>
      <c r="C489">
        <v>232.01473711</v>
      </c>
      <c r="D489">
        <v>3.1774835000000001</v>
      </c>
      <c r="E489">
        <v>4.4690000000000001E-2</v>
      </c>
      <c r="F489">
        <v>1458</v>
      </c>
      <c r="G489">
        <f>IF(OR(C489="",B489="",B489=0),"",5.51*(C489/(B489^3)))</f>
        <v>0.57558552750507086</v>
      </c>
      <c r="H489">
        <v>6060</v>
      </c>
      <c r="I489">
        <v>1.4962009326555616</v>
      </c>
      <c r="J489">
        <v>0.23699999999999999</v>
      </c>
      <c r="L489">
        <f>IF(AND(B489&gt;=0.8,B489&lt;=1.5),1,IF(AND(B489&gt;=0.5,B489&lt;=2),0.5,0))</f>
        <v>0</v>
      </c>
      <c r="M489">
        <f>IF(AND(C489&gt;=0.5,C489&lt;=2),1,IF(AND(C489&gt;=0.1,C489&lt;=5),0.5,0))</f>
        <v>0</v>
      </c>
      <c r="N489">
        <f>IF(AND(G489&gt;=4,G489&lt;=7),1,IF(AND(G489&gt;=3,G489&lt;=8),0.5,0))</f>
        <v>0</v>
      </c>
      <c r="O489">
        <f>IF(AND(F489&gt;=270,F489&lt;=310),1,IF(AND(F489&gt;=250,F489&lt;=330),0.5,0))</f>
        <v>0</v>
      </c>
      <c r="P489">
        <f>IF(AND(E489&gt;=0.8,E489&lt;=1.5),1,IF(AND(E489&gt;=0.5,E489&lt;=2),0.5,0))</f>
        <v>0</v>
      </c>
      <c r="Q489">
        <f>IF(AND(H489&gt;=5000,H489&lt;=6000),1,IF(AND(H489&gt;=4000,H489&lt;5000),0.5,0))</f>
        <v>0</v>
      </c>
      <c r="R489">
        <f>0.35*AVERAGE(L489:M489:N489)+0.3*O489+0.2*P489+0.15*Q489</f>
        <v>0</v>
      </c>
      <c r="S489" t="str">
        <f>LEFT(K489,1)</f>
        <v/>
      </c>
      <c r="T489">
        <f>IF(S489="G",1,0)</f>
        <v>0</v>
      </c>
      <c r="U489">
        <f>IF(S489="K",1,0)</f>
        <v>0</v>
      </c>
      <c r="V489">
        <f>IF(S489="M",1,0)</f>
        <v>0</v>
      </c>
      <c r="W489">
        <f>IF(S489="F",1,0)</f>
        <v>0</v>
      </c>
    </row>
    <row r="490" spans="1:23" x14ac:dyDescent="0.3">
      <c r="A490" t="s">
        <v>254</v>
      </c>
      <c r="B490">
        <v>1.3620000000000001</v>
      </c>
      <c r="C490">
        <v>13.71</v>
      </c>
      <c r="D490">
        <v>4.0402950000000004</v>
      </c>
      <c r="E490">
        <v>5.7270000000000001E-2</v>
      </c>
      <c r="F490">
        <v>1241</v>
      </c>
      <c r="G490">
        <f>IF(OR(C490="",B490="",B490=0),"",5.51*(C490/(B490^3)))</f>
        <v>29.899073507851856</v>
      </c>
      <c r="H490">
        <v>6169</v>
      </c>
      <c r="I490">
        <v>1.6212697408808068</v>
      </c>
      <c r="J490">
        <v>-0.08</v>
      </c>
      <c r="L490">
        <f>IF(AND(B490&gt;=0.8,B490&lt;=1.5),1,IF(AND(B490&gt;=0.5,B490&lt;=2),0.5,0))</f>
        <v>1</v>
      </c>
      <c r="M490">
        <f>IF(AND(C490&gt;=0.5,C490&lt;=2),1,IF(AND(C490&gt;=0.1,C490&lt;=5),0.5,0))</f>
        <v>0</v>
      </c>
      <c r="N490">
        <f>IF(AND(G490&gt;=4,G490&lt;=7),1,IF(AND(G490&gt;=3,G490&lt;=8),0.5,0))</f>
        <v>0</v>
      </c>
      <c r="O490">
        <f>IF(AND(F490&gt;=270,F490&lt;=310),1,IF(AND(F490&gt;=250,F490&lt;=330),0.5,0))</f>
        <v>0</v>
      </c>
      <c r="P490">
        <f>IF(AND(E490&gt;=0.8,E490&lt;=1.5),1,IF(AND(E490&gt;=0.5,E490&lt;=2),0.5,0))</f>
        <v>0</v>
      </c>
      <c r="Q490">
        <f>IF(AND(H490&gt;=5000,H490&lt;=6000),1,IF(AND(H490&gt;=4000,H490&lt;5000),0.5,0))</f>
        <v>0</v>
      </c>
      <c r="R490">
        <f>0.35*AVERAGE(L490:M490:N490)+0.3*O490+0.2*P490+0.15*Q490</f>
        <v>0.11666666666666665</v>
      </c>
      <c r="S490" t="str">
        <f>LEFT(K490,1)</f>
        <v/>
      </c>
      <c r="T490">
        <f>IF(S490="G",1,0)</f>
        <v>0</v>
      </c>
      <c r="U490">
        <f>IF(S490="K",1,0)</f>
        <v>0</v>
      </c>
      <c r="V490">
        <f>IF(S490="M",1,0)</f>
        <v>0</v>
      </c>
      <c r="W490">
        <f>IF(S490="F",1,0)</f>
        <v>0</v>
      </c>
    </row>
    <row r="491" spans="1:23" x14ac:dyDescent="0.3">
      <c r="A491" t="s">
        <v>253</v>
      </c>
      <c r="B491">
        <v>2.3279999999999998</v>
      </c>
      <c r="C491">
        <v>9.7200000000000006</v>
      </c>
      <c r="D491">
        <v>9.5730830000000005</v>
      </c>
      <c r="E491">
        <v>0.1017</v>
      </c>
      <c r="F491">
        <v>931</v>
      </c>
      <c r="G491">
        <f>IF(OR(C491="",B491="",B491=0),"",5.51*(C491/(B491^3)))</f>
        <v>4.2449143888336796</v>
      </c>
      <c r="H491">
        <v>6169</v>
      </c>
      <c r="I491">
        <v>1.6212697408808068</v>
      </c>
      <c r="J491">
        <v>-0.08</v>
      </c>
      <c r="L491">
        <f>IF(AND(B491&gt;=0.8,B491&lt;=1.5),1,IF(AND(B491&gt;=0.5,B491&lt;=2),0.5,0))</f>
        <v>0</v>
      </c>
      <c r="M491">
        <f>IF(AND(C491&gt;=0.5,C491&lt;=2),1,IF(AND(C491&gt;=0.1,C491&lt;=5),0.5,0))</f>
        <v>0</v>
      </c>
      <c r="N491">
        <f>IF(AND(G491&gt;=4,G491&lt;=7),1,IF(AND(G491&gt;=3,G491&lt;=8),0.5,0))</f>
        <v>1</v>
      </c>
      <c r="O491">
        <f>IF(AND(F491&gt;=270,F491&lt;=310),1,IF(AND(F491&gt;=250,F491&lt;=330),0.5,0))</f>
        <v>0</v>
      </c>
      <c r="P491">
        <f>IF(AND(E491&gt;=0.8,E491&lt;=1.5),1,IF(AND(E491&gt;=0.5,E491&lt;=2),0.5,0))</f>
        <v>0</v>
      </c>
      <c r="Q491">
        <f>IF(AND(H491&gt;=5000,H491&lt;=6000),1,IF(AND(H491&gt;=4000,H491&lt;5000),0.5,0))</f>
        <v>0</v>
      </c>
      <c r="R491">
        <f>0.35*AVERAGE(L491:M491:N491)+0.3*O491+0.2*P491+0.15*Q491</f>
        <v>0.11666666666666665</v>
      </c>
      <c r="S491" t="str">
        <f>LEFT(K491,1)</f>
        <v/>
      </c>
      <c r="T491">
        <f>IF(S491="G",1,0)</f>
        <v>0</v>
      </c>
      <c r="U491">
        <f>IF(S491="K",1,0)</f>
        <v>0</v>
      </c>
      <c r="V491">
        <f>IF(S491="M",1,0)</f>
        <v>0</v>
      </c>
      <c r="W491">
        <f>IF(S491="F",1,0)</f>
        <v>0</v>
      </c>
    </row>
    <row r="492" spans="1:23" x14ac:dyDescent="0.3">
      <c r="A492" t="s">
        <v>252</v>
      </c>
      <c r="B492">
        <v>12.28504285</v>
      </c>
      <c r="C492">
        <v>731.00533610000002</v>
      </c>
      <c r="D492">
        <v>56.398789999999998</v>
      </c>
      <c r="E492">
        <v>0.30809999999999998</v>
      </c>
      <c r="F492">
        <v>605.1</v>
      </c>
      <c r="G492">
        <f>IF(OR(C492="",B492="",B492=0),"",5.51*(C492/(B492^3)))</f>
        <v>2.1724116300922005</v>
      </c>
      <c r="H492">
        <v>6096</v>
      </c>
      <c r="I492">
        <v>2.0714131695225126</v>
      </c>
      <c r="J492">
        <v>0.14000000000000001</v>
      </c>
      <c r="K492" t="s">
        <v>141</v>
      </c>
      <c r="L492">
        <f>IF(AND(B492&gt;=0.8,B492&lt;=1.5),1,IF(AND(B492&gt;=0.5,B492&lt;=2),0.5,0))</f>
        <v>0</v>
      </c>
      <c r="M492">
        <f>IF(AND(C492&gt;=0.5,C492&lt;=2),1,IF(AND(C492&gt;=0.1,C492&lt;=5),0.5,0))</f>
        <v>0</v>
      </c>
      <c r="N492">
        <f>IF(AND(G492&gt;=4,G492&lt;=7),1,IF(AND(G492&gt;=3,G492&lt;=8),0.5,0))</f>
        <v>0</v>
      </c>
      <c r="O492">
        <f>IF(AND(F492&gt;=270,F492&lt;=310),1,IF(AND(F492&gt;=250,F492&lt;=330),0.5,0))</f>
        <v>0</v>
      </c>
      <c r="P492">
        <f>IF(AND(E492&gt;=0.8,E492&lt;=1.5),1,IF(AND(E492&gt;=0.5,E492&lt;=2),0.5,0))</f>
        <v>0</v>
      </c>
      <c r="Q492">
        <f>IF(AND(H492&gt;=5000,H492&lt;=6000),1,IF(AND(H492&gt;=4000,H492&lt;5000),0.5,0))</f>
        <v>0</v>
      </c>
      <c r="R492">
        <f>0.35*AVERAGE(L492:M492:N492)+0.3*O492+0.2*P492+0.15*Q492</f>
        <v>0</v>
      </c>
      <c r="S492" t="str">
        <f>LEFT(K492,1)</f>
        <v>F</v>
      </c>
      <c r="T492">
        <f>IF(S492="G",1,0)</f>
        <v>0</v>
      </c>
      <c r="U492">
        <f>IF(S492="K",1,0)</f>
        <v>0</v>
      </c>
      <c r="V492">
        <f>IF(S492="M",1,0)</f>
        <v>0</v>
      </c>
      <c r="W492">
        <f>IF(S492="F",1,0)</f>
        <v>1</v>
      </c>
    </row>
    <row r="493" spans="1:23" x14ac:dyDescent="0.3">
      <c r="A493" t="s">
        <v>251</v>
      </c>
      <c r="B493">
        <v>13.574075629999999</v>
      </c>
      <c r="C493">
        <v>457.67290608000002</v>
      </c>
      <c r="D493">
        <v>3.8016122000000001</v>
      </c>
      <c r="E493">
        <v>5.2220000000000003E-2</v>
      </c>
      <c r="F493">
        <v>1570</v>
      </c>
      <c r="G493">
        <f>IF(OR(C493="",B493="",B493=0),"",5.51*(C493/(B493^3)))</f>
        <v>1.0082680565623072</v>
      </c>
      <c r="H493">
        <v>6202</v>
      </c>
      <c r="I493">
        <v>2.7449514638141848</v>
      </c>
      <c r="J493">
        <v>0.182</v>
      </c>
      <c r="L493">
        <f>IF(AND(B493&gt;=0.8,B493&lt;=1.5),1,IF(AND(B493&gt;=0.5,B493&lt;=2),0.5,0))</f>
        <v>0</v>
      </c>
      <c r="M493">
        <f>IF(AND(C493&gt;=0.5,C493&lt;=2),1,IF(AND(C493&gt;=0.1,C493&lt;=5),0.5,0))</f>
        <v>0</v>
      </c>
      <c r="N493">
        <f>IF(AND(G493&gt;=4,G493&lt;=7),1,IF(AND(G493&gt;=3,G493&lt;=8),0.5,0))</f>
        <v>0</v>
      </c>
      <c r="O493">
        <f>IF(AND(F493&gt;=270,F493&lt;=310),1,IF(AND(F493&gt;=250,F493&lt;=330),0.5,0))</f>
        <v>0</v>
      </c>
      <c r="P493">
        <f>IF(AND(E493&gt;=0.8,E493&lt;=1.5),1,IF(AND(E493&gt;=0.5,E493&lt;=2),0.5,0))</f>
        <v>0</v>
      </c>
      <c r="Q493">
        <f>IF(AND(H493&gt;=5000,H493&lt;=6000),1,IF(AND(H493&gt;=4000,H493&lt;5000),0.5,0))</f>
        <v>0</v>
      </c>
      <c r="R493">
        <f>0.35*AVERAGE(L493:M493:N493)+0.3*O493+0.2*P493+0.15*Q493</f>
        <v>0</v>
      </c>
      <c r="S493" t="str">
        <f>LEFT(K493,1)</f>
        <v/>
      </c>
      <c r="T493">
        <f>IF(S493="G",1,0)</f>
        <v>0</v>
      </c>
      <c r="U493">
        <f>IF(S493="K",1,0)</f>
        <v>0</v>
      </c>
      <c r="V493">
        <f>IF(S493="M",1,0)</f>
        <v>0</v>
      </c>
      <c r="W493">
        <f>IF(S493="F",1,0)</f>
        <v>0</v>
      </c>
    </row>
    <row r="494" spans="1:23" x14ac:dyDescent="0.3">
      <c r="A494" t="s">
        <v>250</v>
      </c>
      <c r="B494">
        <v>13.30506009</v>
      </c>
      <c r="C494">
        <v>136.66621501</v>
      </c>
      <c r="D494">
        <v>4.0664427999999999</v>
      </c>
      <c r="E494">
        <v>4.8230000000000002E-2</v>
      </c>
      <c r="F494">
        <v>1074</v>
      </c>
      <c r="G494">
        <f>IF(OR(C494="",B494="",B494=0),"",5.51*(C494/(B494^3)))</f>
        <v>0.31971443478118061</v>
      </c>
      <c r="H494">
        <v>5281</v>
      </c>
      <c r="I494">
        <v>0.5149212888041238</v>
      </c>
      <c r="J494">
        <v>0.16800000000000001</v>
      </c>
      <c r="L494">
        <f>IF(AND(B494&gt;=0.8,B494&lt;=1.5),1,IF(AND(B494&gt;=0.5,B494&lt;=2),0.5,0))</f>
        <v>0</v>
      </c>
      <c r="M494">
        <f>IF(AND(C494&gt;=0.5,C494&lt;=2),1,IF(AND(C494&gt;=0.1,C494&lt;=5),0.5,0))</f>
        <v>0</v>
      </c>
      <c r="N494">
        <f>IF(AND(G494&gt;=4,G494&lt;=7),1,IF(AND(G494&gt;=3,G494&lt;=8),0.5,0))</f>
        <v>0</v>
      </c>
      <c r="O494">
        <f>IF(AND(F494&gt;=270,F494&lt;=310),1,IF(AND(F494&gt;=250,F494&lt;=330),0.5,0))</f>
        <v>0</v>
      </c>
      <c r="P494">
        <f>IF(AND(E494&gt;=0.8,E494&lt;=1.5),1,IF(AND(E494&gt;=0.5,E494&lt;=2),0.5,0))</f>
        <v>0</v>
      </c>
      <c r="Q494">
        <f>IF(AND(H494&gt;=5000,H494&lt;=6000),1,IF(AND(H494&gt;=4000,H494&lt;5000),0.5,0))</f>
        <v>1</v>
      </c>
      <c r="R494">
        <f>0.35*AVERAGE(L494:M494:N494)+0.3*O494+0.2*P494+0.15*Q494</f>
        <v>0.15</v>
      </c>
      <c r="S494" t="str">
        <f>LEFT(K494,1)</f>
        <v/>
      </c>
      <c r="T494">
        <f>IF(S494="G",1,0)</f>
        <v>0</v>
      </c>
      <c r="U494">
        <f>IF(S494="K",1,0)</f>
        <v>0</v>
      </c>
      <c r="V494">
        <f>IF(S494="M",1,0)</f>
        <v>0</v>
      </c>
      <c r="W494">
        <f>IF(S494="F",1,0)</f>
        <v>0</v>
      </c>
    </row>
    <row r="495" spans="1:23" x14ac:dyDescent="0.3">
      <c r="A495" t="s">
        <v>249</v>
      </c>
      <c r="B495">
        <v>16.11851425</v>
      </c>
      <c r="C495">
        <v>365.50266805000001</v>
      </c>
      <c r="D495">
        <v>4.6174141000000004</v>
      </c>
      <c r="E495">
        <v>6.3109999999999999E-2</v>
      </c>
      <c r="F495">
        <v>1669</v>
      </c>
      <c r="G495">
        <f>IF(OR(C495="",B495="",B495=0),"",5.51*(C495/(B495^3)))</f>
        <v>0.48091367631871945</v>
      </c>
      <c r="H495">
        <v>6860</v>
      </c>
      <c r="I495">
        <v>5.1184254985290707</v>
      </c>
      <c r="J495">
        <v>0.317</v>
      </c>
      <c r="L495">
        <f>IF(AND(B495&gt;=0.8,B495&lt;=1.5),1,IF(AND(B495&gt;=0.5,B495&lt;=2),0.5,0))</f>
        <v>0</v>
      </c>
      <c r="M495">
        <f>IF(AND(C495&gt;=0.5,C495&lt;=2),1,IF(AND(C495&gt;=0.1,C495&lt;=5),0.5,0))</f>
        <v>0</v>
      </c>
      <c r="N495">
        <f>IF(AND(G495&gt;=4,G495&lt;=7),1,IF(AND(G495&gt;=3,G495&lt;=8),0.5,0))</f>
        <v>0</v>
      </c>
      <c r="O495">
        <f>IF(AND(F495&gt;=270,F495&lt;=310),1,IF(AND(F495&gt;=250,F495&lt;=330),0.5,0))</f>
        <v>0</v>
      </c>
      <c r="P495">
        <f>IF(AND(E495&gt;=0.8,E495&lt;=1.5),1,IF(AND(E495&gt;=0.5,E495&lt;=2),0.5,0))</f>
        <v>0</v>
      </c>
      <c r="Q495">
        <f>IF(AND(H495&gt;=5000,H495&lt;=6000),1,IF(AND(H495&gt;=4000,H495&lt;5000),0.5,0))</f>
        <v>0</v>
      </c>
      <c r="R495">
        <f>0.35*AVERAGE(L495:M495:N495)+0.3*O495+0.2*P495+0.15*Q495</f>
        <v>0</v>
      </c>
      <c r="S495" t="str">
        <f>LEFT(K495,1)</f>
        <v/>
      </c>
      <c r="T495">
        <f>IF(S495="G",1,0)</f>
        <v>0</v>
      </c>
      <c r="U495">
        <f>IF(S495="K",1,0)</f>
        <v>0</v>
      </c>
      <c r="V495">
        <f>IF(S495="M",1,0)</f>
        <v>0</v>
      </c>
      <c r="W495">
        <f>IF(S495="F",1,0)</f>
        <v>0</v>
      </c>
    </row>
    <row r="496" spans="1:23" x14ac:dyDescent="0.3">
      <c r="A496" t="s">
        <v>248</v>
      </c>
      <c r="B496">
        <v>3.21</v>
      </c>
      <c r="D496">
        <v>3.320729</v>
      </c>
      <c r="F496">
        <v>1255</v>
      </c>
      <c r="G496" t="str">
        <f>IF(OR(C496="",B496="",B496=0),"",5.51*(C496/(B496^3)))</f>
        <v/>
      </c>
      <c r="H496">
        <v>5724</v>
      </c>
      <c r="I496">
        <v>0.86923170936414418</v>
      </c>
      <c r="J496">
        <v>0.11</v>
      </c>
      <c r="L496">
        <f>IF(AND(B496&gt;=0.8,B496&lt;=1.5),1,IF(AND(B496&gt;=0.5,B496&lt;=2),0.5,0))</f>
        <v>0</v>
      </c>
      <c r="M496">
        <f>IF(AND(C496&gt;=0.5,C496&lt;=2),1,IF(AND(C496&gt;=0.1,C496&lt;=5),0.5,0))</f>
        <v>0</v>
      </c>
      <c r="N496">
        <f>IF(AND(G496&gt;=4,G496&lt;=7),1,IF(AND(G496&gt;=3,G496&lt;=8),0.5,0))</f>
        <v>0</v>
      </c>
      <c r="O496">
        <f>IF(AND(F496&gt;=270,F496&lt;=310),1,IF(AND(F496&gt;=250,F496&lt;=330),0.5,0))</f>
        <v>0</v>
      </c>
      <c r="P496">
        <f>IF(AND(E496&gt;=0.8,E496&lt;=1.5),1,IF(AND(E496&gt;=0.5,E496&lt;=2),0.5,0))</f>
        <v>0</v>
      </c>
      <c r="Q496">
        <f>IF(AND(H496&gt;=5000,H496&lt;=6000),1,IF(AND(H496&gt;=4000,H496&lt;5000),0.5,0))</f>
        <v>1</v>
      </c>
      <c r="R496">
        <f>0.35*AVERAGE(L496:M496:N496)+0.3*O496+0.2*P496+0.15*Q496</f>
        <v>0.15</v>
      </c>
      <c r="S496" t="str">
        <f>LEFT(K496,1)</f>
        <v/>
      </c>
      <c r="T496">
        <f>IF(S496="G",1,0)</f>
        <v>0</v>
      </c>
      <c r="U496">
        <f>IF(S496="K",1,0)</f>
        <v>0</v>
      </c>
      <c r="V496">
        <f>IF(S496="M",1,0)</f>
        <v>0</v>
      </c>
      <c r="W496">
        <f>IF(S496="F",1,0)</f>
        <v>0</v>
      </c>
    </row>
    <row r="497" spans="1:23" x14ac:dyDescent="0.3">
      <c r="A497" t="s">
        <v>247</v>
      </c>
      <c r="B497">
        <v>2.4300000000000002</v>
      </c>
      <c r="D497">
        <v>4.9019804000000002</v>
      </c>
      <c r="E497">
        <v>3.3599999999999998E-2</v>
      </c>
      <c r="F497">
        <v>412</v>
      </c>
      <c r="G497" t="str">
        <f>IF(OR(C497="",B497="",B497=0),"",5.51*(C497/(B497^3)))</f>
        <v/>
      </c>
      <c r="H497">
        <v>3238</v>
      </c>
      <c r="I497">
        <v>5.4327961142453737E-3</v>
      </c>
      <c r="J497">
        <v>-0.27</v>
      </c>
      <c r="K497" t="s">
        <v>246</v>
      </c>
      <c r="L497">
        <f>IF(AND(B497&gt;=0.8,B497&lt;=1.5),1,IF(AND(B497&gt;=0.5,B497&lt;=2),0.5,0))</f>
        <v>0</v>
      </c>
      <c r="M497">
        <f>IF(AND(C497&gt;=0.5,C497&lt;=2),1,IF(AND(C497&gt;=0.1,C497&lt;=5),0.5,0))</f>
        <v>0</v>
      </c>
      <c r="N497">
        <f>IF(AND(G497&gt;=4,G497&lt;=7),1,IF(AND(G497&gt;=3,G497&lt;=8),0.5,0))</f>
        <v>0</v>
      </c>
      <c r="O497">
        <f>IF(AND(F497&gt;=270,F497&lt;=310),1,IF(AND(F497&gt;=250,F497&lt;=330),0.5,0))</f>
        <v>0</v>
      </c>
      <c r="P497">
        <f>IF(AND(E497&gt;=0.8,E497&lt;=1.5),1,IF(AND(E497&gt;=0.5,E497&lt;=2),0.5,0))</f>
        <v>0</v>
      </c>
      <c r="Q497">
        <f>IF(AND(H497&gt;=5000,H497&lt;=6000),1,IF(AND(H497&gt;=4000,H497&lt;5000),0.5,0))</f>
        <v>0</v>
      </c>
      <c r="R497">
        <f>0.35*AVERAGE(L497:M497:N497)+0.3*O497+0.2*P497+0.15*Q497</f>
        <v>0</v>
      </c>
      <c r="S497" t="str">
        <f>LEFT(K497,1)</f>
        <v>M</v>
      </c>
      <c r="T497">
        <f>IF(S497="G",1,0)</f>
        <v>0</v>
      </c>
      <c r="U497">
        <f>IF(S497="K",1,0)</f>
        <v>0</v>
      </c>
      <c r="V497">
        <f>IF(S497="M",1,0)</f>
        <v>1</v>
      </c>
      <c r="W497">
        <f>IF(S497="F",1,0)</f>
        <v>0</v>
      </c>
    </row>
    <row r="498" spans="1:23" x14ac:dyDescent="0.3">
      <c r="A498" t="s">
        <v>245</v>
      </c>
      <c r="B498">
        <v>13.67495645</v>
      </c>
      <c r="C498">
        <v>788.21444936</v>
      </c>
      <c r="D498">
        <v>3.5819193999999999</v>
      </c>
      <c r="E498">
        <v>0.04</v>
      </c>
      <c r="F498">
        <v>725</v>
      </c>
      <c r="G498">
        <f>IF(OR(C498="",B498="",B498=0),"",5.51*(C498/(B498^3)))</f>
        <v>1.698314568333219</v>
      </c>
      <c r="H498">
        <v>3794</v>
      </c>
      <c r="I498">
        <v>7.3783670313955829E-2</v>
      </c>
      <c r="J498">
        <v>0.52</v>
      </c>
      <c r="K498" t="s">
        <v>244</v>
      </c>
      <c r="L498">
        <f>IF(AND(B498&gt;=0.8,B498&lt;=1.5),1,IF(AND(B498&gt;=0.5,B498&lt;=2),0.5,0))</f>
        <v>0</v>
      </c>
      <c r="M498">
        <f>IF(AND(C498&gt;=0.5,C498&lt;=2),1,IF(AND(C498&gt;=0.1,C498&lt;=5),0.5,0))</f>
        <v>0</v>
      </c>
      <c r="N498">
        <f>IF(AND(G498&gt;=4,G498&lt;=7),1,IF(AND(G498&gt;=3,G498&lt;=8),0.5,0))</f>
        <v>0</v>
      </c>
      <c r="O498">
        <f>IF(AND(F498&gt;=270,F498&lt;=310),1,IF(AND(F498&gt;=250,F498&lt;=330),0.5,0))</f>
        <v>0</v>
      </c>
      <c r="P498">
        <f>IF(AND(E498&gt;=0.8,E498&lt;=1.5),1,IF(AND(E498&gt;=0.5,E498&lt;=2),0.5,0))</f>
        <v>0</v>
      </c>
      <c r="Q498">
        <f>IF(AND(H498&gt;=5000,H498&lt;=6000),1,IF(AND(H498&gt;=4000,H498&lt;5000),0.5,0))</f>
        <v>0</v>
      </c>
      <c r="R498">
        <f>0.35*AVERAGE(L498:M498:N498)+0.3*O498+0.2*P498+0.15*Q498</f>
        <v>0</v>
      </c>
      <c r="S498" t="str">
        <f>LEFT(K498,1)</f>
        <v>M</v>
      </c>
      <c r="T498">
        <f>IF(S498="G",1,0)</f>
        <v>0</v>
      </c>
      <c r="U498">
        <f>IF(S498="K",1,0)</f>
        <v>0</v>
      </c>
      <c r="V498">
        <f>IF(S498="M",1,0)</f>
        <v>1</v>
      </c>
      <c r="W498">
        <f>IF(S498="F",1,0)</f>
        <v>0</v>
      </c>
    </row>
    <row r="499" spans="1:23" x14ac:dyDescent="0.3">
      <c r="A499" t="s">
        <v>243</v>
      </c>
      <c r="B499">
        <v>2.64</v>
      </c>
      <c r="C499">
        <v>6.7</v>
      </c>
      <c r="D499">
        <v>5.1975759999999998</v>
      </c>
      <c r="E499">
        <v>5.5399999999999998E-2</v>
      </c>
      <c r="F499">
        <v>922</v>
      </c>
      <c r="G499">
        <f>IF(OR(C499="",B499="",B499=0),"",5.51*(C499/(B499^3)))</f>
        <v>2.0063866105963211</v>
      </c>
      <c r="H499">
        <v>5291</v>
      </c>
      <c r="I499">
        <v>0.52732295867677792</v>
      </c>
      <c r="J499">
        <v>-4.3999999999999997E-2</v>
      </c>
      <c r="K499" t="s">
        <v>241</v>
      </c>
      <c r="L499">
        <f>IF(AND(B499&gt;=0.8,B499&lt;=1.5),1,IF(AND(B499&gt;=0.5,B499&lt;=2),0.5,0))</f>
        <v>0</v>
      </c>
      <c r="M499">
        <f>IF(AND(C499&gt;=0.5,C499&lt;=2),1,IF(AND(C499&gt;=0.1,C499&lt;=5),0.5,0))</f>
        <v>0</v>
      </c>
      <c r="N499">
        <f>IF(AND(G499&gt;=4,G499&lt;=7),1,IF(AND(G499&gt;=3,G499&lt;=8),0.5,0))</f>
        <v>0</v>
      </c>
      <c r="O499">
        <f>IF(AND(F499&gt;=270,F499&lt;=310),1,IF(AND(F499&gt;=250,F499&lt;=330),0.5,0))</f>
        <v>0</v>
      </c>
      <c r="P499">
        <f>IF(AND(E499&gt;=0.8,E499&lt;=1.5),1,IF(AND(E499&gt;=0.5,E499&lt;=2),0.5,0))</f>
        <v>0</v>
      </c>
      <c r="Q499">
        <f>IF(AND(H499&gt;=5000,H499&lt;=6000),1,IF(AND(H499&gt;=4000,H499&lt;5000),0.5,0))</f>
        <v>1</v>
      </c>
      <c r="R499">
        <f>0.35*AVERAGE(L499:M499:N499)+0.3*O499+0.2*P499+0.15*Q499</f>
        <v>0.15</v>
      </c>
      <c r="S499" t="str">
        <f>LEFT(K499,1)</f>
        <v>G</v>
      </c>
      <c r="T499">
        <f>IF(S499="G",1,0)</f>
        <v>1</v>
      </c>
      <c r="U499">
        <f>IF(S499="K",1,0)</f>
        <v>0</v>
      </c>
      <c r="V499">
        <f>IF(S499="M",1,0)</f>
        <v>0</v>
      </c>
      <c r="W499">
        <f>IF(S499="F",1,0)</f>
        <v>0</v>
      </c>
    </row>
    <row r="500" spans="1:23" x14ac:dyDescent="0.3">
      <c r="A500" t="s">
        <v>242</v>
      </c>
      <c r="B500">
        <v>5.09</v>
      </c>
      <c r="C500">
        <v>14.1</v>
      </c>
      <c r="D500">
        <v>16.067540999999999</v>
      </c>
      <c r="E500">
        <v>0.11700000000000001</v>
      </c>
      <c r="F500">
        <v>635</v>
      </c>
      <c r="G500">
        <f>IF(OR(C500="",B500="",B500=0),"",5.51*(C500/(B500^3)))</f>
        <v>0.58913844551759265</v>
      </c>
      <c r="H500">
        <v>5291</v>
      </c>
      <c r="I500">
        <v>0.52732295867677792</v>
      </c>
      <c r="J500">
        <v>-4.3999999999999997E-2</v>
      </c>
      <c r="K500" t="s">
        <v>241</v>
      </c>
      <c r="L500">
        <f>IF(AND(B500&gt;=0.8,B500&lt;=1.5),1,IF(AND(B500&gt;=0.5,B500&lt;=2),0.5,0))</f>
        <v>0</v>
      </c>
      <c r="M500">
        <f>IF(AND(C500&gt;=0.5,C500&lt;=2),1,IF(AND(C500&gt;=0.1,C500&lt;=5),0.5,0))</f>
        <v>0</v>
      </c>
      <c r="N500">
        <f>IF(AND(G500&gt;=4,G500&lt;=7),1,IF(AND(G500&gt;=3,G500&lt;=8),0.5,0))</f>
        <v>0</v>
      </c>
      <c r="O500">
        <f>IF(AND(F500&gt;=270,F500&lt;=310),1,IF(AND(F500&gt;=250,F500&lt;=330),0.5,0))</f>
        <v>0</v>
      </c>
      <c r="P500">
        <f>IF(AND(E500&gt;=0.8,E500&lt;=1.5),1,IF(AND(E500&gt;=0.5,E500&lt;=2),0.5,0))</f>
        <v>0</v>
      </c>
      <c r="Q500">
        <f>IF(AND(H500&gt;=5000,H500&lt;=6000),1,IF(AND(H500&gt;=4000,H500&lt;5000),0.5,0))</f>
        <v>1</v>
      </c>
      <c r="R500">
        <f>0.35*AVERAGE(L500:M500:N500)+0.3*O500+0.2*P500+0.15*Q500</f>
        <v>0.15</v>
      </c>
      <c r="S500" t="str">
        <f>LEFT(K500,1)</f>
        <v>G</v>
      </c>
      <c r="T500">
        <f>IF(S500="G",1,0)</f>
        <v>1</v>
      </c>
      <c r="U500">
        <f>IF(S500="K",1,0)</f>
        <v>0</v>
      </c>
      <c r="V500">
        <f>IF(S500="M",1,0)</f>
        <v>0</v>
      </c>
      <c r="W500">
        <f>IF(S500="F",1,0)</f>
        <v>0</v>
      </c>
    </row>
    <row r="501" spans="1:23" x14ac:dyDescent="0.3">
      <c r="A501" t="s">
        <v>240</v>
      </c>
      <c r="B501">
        <v>10.68215861</v>
      </c>
      <c r="C501">
        <v>165.27077163999999</v>
      </c>
      <c r="D501">
        <v>3.4913884999999998</v>
      </c>
      <c r="E501">
        <v>5.0180000000000002E-2</v>
      </c>
      <c r="F501">
        <v>1642</v>
      </c>
      <c r="G501">
        <f>IF(OR(C501="",B501="",B501=0),"",5.51*(C501/(B501^3)))</f>
        <v>0.74708598141408389</v>
      </c>
      <c r="H501">
        <v>6370</v>
      </c>
      <c r="I501">
        <v>3.0377070000672419</v>
      </c>
      <c r="J501">
        <v>0.29399999999999998</v>
      </c>
      <c r="L501">
        <f>IF(AND(B501&gt;=0.8,B501&lt;=1.5),1,IF(AND(B501&gt;=0.5,B501&lt;=2),0.5,0))</f>
        <v>0</v>
      </c>
      <c r="M501">
        <f>IF(AND(C501&gt;=0.5,C501&lt;=2),1,IF(AND(C501&gt;=0.1,C501&lt;=5),0.5,0))</f>
        <v>0</v>
      </c>
      <c r="N501">
        <f>IF(AND(G501&gt;=4,G501&lt;=7),1,IF(AND(G501&gt;=3,G501&lt;=8),0.5,0))</f>
        <v>0</v>
      </c>
      <c r="O501">
        <f>IF(AND(F501&gt;=270,F501&lt;=310),1,IF(AND(F501&gt;=250,F501&lt;=330),0.5,0))</f>
        <v>0</v>
      </c>
      <c r="P501">
        <f>IF(AND(E501&gt;=0.8,E501&lt;=1.5),1,IF(AND(E501&gt;=0.5,E501&lt;=2),0.5,0))</f>
        <v>0</v>
      </c>
      <c r="Q501">
        <f>IF(AND(H501&gt;=5000,H501&lt;=6000),1,IF(AND(H501&gt;=4000,H501&lt;5000),0.5,0))</f>
        <v>0</v>
      </c>
      <c r="R501">
        <f>0.35*AVERAGE(L501:M501:N501)+0.3*O501+0.2*P501+0.15*Q501</f>
        <v>0</v>
      </c>
      <c r="S501" t="str">
        <f>LEFT(K501,1)</f>
        <v/>
      </c>
      <c r="T501">
        <f>IF(S501="G",1,0)</f>
        <v>0</v>
      </c>
      <c r="U501">
        <f>IF(S501="K",1,0)</f>
        <v>0</v>
      </c>
      <c r="V501">
        <f>IF(S501="M",1,0)</f>
        <v>0</v>
      </c>
      <c r="W501">
        <f>IF(S501="F",1,0)</f>
        <v>0</v>
      </c>
    </row>
    <row r="502" spans="1:23" x14ac:dyDescent="0.3">
      <c r="A502" t="s">
        <v>239</v>
      </c>
      <c r="B502">
        <v>2.4188999999999998</v>
      </c>
      <c r="D502">
        <v>9.1512010000000004</v>
      </c>
      <c r="F502">
        <v>763.05</v>
      </c>
      <c r="G502" t="str">
        <f>IF(OR(C502="",B502="",B502=0),"",5.51*(C502/(B502^3)))</f>
        <v/>
      </c>
      <c r="H502">
        <v>5243</v>
      </c>
      <c r="I502">
        <v>0.42676979384489061</v>
      </c>
      <c r="L502">
        <f>IF(AND(B502&gt;=0.8,B502&lt;=1.5),1,IF(AND(B502&gt;=0.5,B502&lt;=2),0.5,0))</f>
        <v>0</v>
      </c>
      <c r="M502">
        <f>IF(AND(C502&gt;=0.5,C502&lt;=2),1,IF(AND(C502&gt;=0.1,C502&lt;=5),0.5,0))</f>
        <v>0</v>
      </c>
      <c r="N502">
        <f>IF(AND(G502&gt;=4,G502&lt;=7),1,IF(AND(G502&gt;=3,G502&lt;=8),0.5,0))</f>
        <v>0</v>
      </c>
      <c r="O502">
        <f>IF(AND(F502&gt;=270,F502&lt;=310),1,IF(AND(F502&gt;=250,F502&lt;=330),0.5,0))</f>
        <v>0</v>
      </c>
      <c r="P502">
        <f>IF(AND(E502&gt;=0.8,E502&lt;=1.5),1,IF(AND(E502&gt;=0.5,E502&lt;=2),0.5,0))</f>
        <v>0</v>
      </c>
      <c r="Q502">
        <f>IF(AND(H502&gt;=5000,H502&lt;=6000),1,IF(AND(H502&gt;=4000,H502&lt;5000),0.5,0))</f>
        <v>1</v>
      </c>
      <c r="R502">
        <f>0.35*AVERAGE(L502:M502:N502)+0.3*O502+0.2*P502+0.15*Q502</f>
        <v>0.15</v>
      </c>
      <c r="S502" t="str">
        <f>LEFT(K502,1)</f>
        <v/>
      </c>
      <c r="T502">
        <f>IF(S502="G",1,0)</f>
        <v>0</v>
      </c>
      <c r="U502">
        <f>IF(S502="K",1,0)</f>
        <v>0</v>
      </c>
      <c r="V502">
        <f>IF(S502="M",1,0)</f>
        <v>0</v>
      </c>
      <c r="W502">
        <f>IF(S502="F",1,0)</f>
        <v>0</v>
      </c>
    </row>
    <row r="503" spans="1:23" x14ac:dyDescent="0.3">
      <c r="A503" t="s">
        <v>238</v>
      </c>
      <c r="B503">
        <v>1.28</v>
      </c>
      <c r="C503">
        <v>3.07</v>
      </c>
      <c r="D503">
        <v>0.49004700000000001</v>
      </c>
      <c r="E503">
        <v>1.1299999999999999E-2</v>
      </c>
      <c r="F503">
        <v>1862</v>
      </c>
      <c r="G503">
        <f>IF(OR(C503="",B503="",B503=0),"",5.51*(C503/(B503^3)))</f>
        <v>8.0660343170165998</v>
      </c>
      <c r="H503">
        <v>4850</v>
      </c>
      <c r="I503">
        <v>0.26527208951924791</v>
      </c>
      <c r="J503">
        <v>0.2</v>
      </c>
      <c r="L503">
        <f>IF(AND(B503&gt;=0.8,B503&lt;=1.5),1,IF(AND(B503&gt;=0.5,B503&lt;=2),0.5,0))</f>
        <v>1</v>
      </c>
      <c r="M503">
        <f>IF(AND(C503&gt;=0.5,C503&lt;=2),1,IF(AND(C503&gt;=0.1,C503&lt;=5),0.5,0))</f>
        <v>0.5</v>
      </c>
      <c r="N503">
        <f>IF(AND(G503&gt;=4,G503&lt;=7),1,IF(AND(G503&gt;=3,G503&lt;=8),0.5,0))</f>
        <v>0</v>
      </c>
      <c r="O503">
        <f>IF(AND(F503&gt;=270,F503&lt;=310),1,IF(AND(F503&gt;=250,F503&lt;=330),0.5,0))</f>
        <v>0</v>
      </c>
      <c r="P503">
        <f>IF(AND(E503&gt;=0.8,E503&lt;=1.5),1,IF(AND(E503&gt;=0.5,E503&lt;=2),0.5,0))</f>
        <v>0</v>
      </c>
      <c r="Q503">
        <f>IF(AND(H503&gt;=5000,H503&lt;=6000),1,IF(AND(H503&gt;=4000,H503&lt;5000),0.5,0))</f>
        <v>0.5</v>
      </c>
      <c r="R503">
        <f>0.35*AVERAGE(L503:M503:N503)+0.3*O503+0.2*P503+0.15*Q503</f>
        <v>0.25</v>
      </c>
      <c r="S503" t="str">
        <f>LEFT(K503,1)</f>
        <v/>
      </c>
      <c r="T503">
        <f>IF(S503="G",1,0)</f>
        <v>0</v>
      </c>
      <c r="U503">
        <f>IF(S503="K",1,0)</f>
        <v>0</v>
      </c>
      <c r="V503">
        <f>IF(S503="M",1,0)</f>
        <v>0</v>
      </c>
      <c r="W503">
        <f>IF(S503="F",1,0)</f>
        <v>0</v>
      </c>
    </row>
    <row r="504" spans="1:23" x14ac:dyDescent="0.3">
      <c r="A504" t="s">
        <v>237</v>
      </c>
      <c r="B504">
        <v>3.29</v>
      </c>
      <c r="C504">
        <v>9.9</v>
      </c>
      <c r="D504">
        <v>12.461029999999999</v>
      </c>
      <c r="E504">
        <v>9.8000000000000004E-2</v>
      </c>
      <c r="F504">
        <v>633</v>
      </c>
      <c r="G504">
        <f>IF(OR(C504="",B504="",B504=0),"",5.51*(C504/(B504^3)))</f>
        <v>1.5317895401090367</v>
      </c>
      <c r="H504">
        <v>4850</v>
      </c>
      <c r="I504">
        <v>0.26527208951924791</v>
      </c>
      <c r="J504">
        <v>0.2</v>
      </c>
      <c r="L504">
        <f>IF(AND(B504&gt;=0.8,B504&lt;=1.5),1,IF(AND(B504&gt;=0.5,B504&lt;=2),0.5,0))</f>
        <v>0</v>
      </c>
      <c r="M504">
        <f>IF(AND(C504&gt;=0.5,C504&lt;=2),1,IF(AND(C504&gt;=0.1,C504&lt;=5),0.5,0))</f>
        <v>0</v>
      </c>
      <c r="N504">
        <f>IF(AND(G504&gt;=4,G504&lt;=7),1,IF(AND(G504&gt;=3,G504&lt;=8),0.5,0))</f>
        <v>0</v>
      </c>
      <c r="O504">
        <f>IF(AND(F504&gt;=270,F504&lt;=310),1,IF(AND(F504&gt;=250,F504&lt;=330),0.5,0))</f>
        <v>0</v>
      </c>
      <c r="P504">
        <f>IF(AND(E504&gt;=0.8,E504&lt;=1.5),1,IF(AND(E504&gt;=0.5,E504&lt;=2),0.5,0))</f>
        <v>0</v>
      </c>
      <c r="Q504">
        <f>IF(AND(H504&gt;=5000,H504&lt;=6000),1,IF(AND(H504&gt;=4000,H504&lt;5000),0.5,0))</f>
        <v>0.5</v>
      </c>
      <c r="R504">
        <f>0.35*AVERAGE(L504:M504:N504)+0.3*O504+0.2*P504+0.15*Q504</f>
        <v>7.4999999999999997E-2</v>
      </c>
      <c r="S504" t="str">
        <f>LEFT(K504,1)</f>
        <v/>
      </c>
      <c r="T504">
        <f>IF(S504="G",1,0)</f>
        <v>0</v>
      </c>
      <c r="U504">
        <f>IF(S504="K",1,0)</f>
        <v>0</v>
      </c>
      <c r="V504">
        <f>IF(S504="M",1,0)</f>
        <v>0</v>
      </c>
      <c r="W504">
        <f>IF(S504="F",1,0)</f>
        <v>0</v>
      </c>
    </row>
    <row r="505" spans="1:23" x14ac:dyDescent="0.3">
      <c r="A505" t="s">
        <v>236</v>
      </c>
      <c r="B505">
        <v>16.81347105</v>
      </c>
      <c r="C505">
        <v>143.02278315000001</v>
      </c>
      <c r="D505">
        <v>2.9222999999999999</v>
      </c>
      <c r="G505">
        <f>IF(OR(C505="",B505="",B505=0),"",5.51*(C505/(B505^3)))</f>
        <v>0.16580005965443992</v>
      </c>
      <c r="H505">
        <v>6000</v>
      </c>
      <c r="I505">
        <v>6.2046717588885834</v>
      </c>
      <c r="J505">
        <v>0.28999999999999998</v>
      </c>
      <c r="L505">
        <f>IF(AND(B505&gt;=0.8,B505&lt;=1.5),1,IF(AND(B505&gt;=0.5,B505&lt;=2),0.5,0))</f>
        <v>0</v>
      </c>
      <c r="M505">
        <f>IF(AND(C505&gt;=0.5,C505&lt;=2),1,IF(AND(C505&gt;=0.1,C505&lt;=5),0.5,0))</f>
        <v>0</v>
      </c>
      <c r="N505">
        <f>IF(AND(G505&gt;=4,G505&lt;=7),1,IF(AND(G505&gt;=3,G505&lt;=8),0.5,0))</f>
        <v>0</v>
      </c>
      <c r="O505">
        <f>IF(AND(F505&gt;=270,F505&lt;=310),1,IF(AND(F505&gt;=250,F505&lt;=330),0.5,0))</f>
        <v>0</v>
      </c>
      <c r="P505">
        <f>IF(AND(E505&gt;=0.8,E505&lt;=1.5),1,IF(AND(E505&gt;=0.5,E505&lt;=2),0.5,0))</f>
        <v>0</v>
      </c>
      <c r="Q505">
        <f>IF(AND(H505&gt;=5000,H505&lt;=6000),1,IF(AND(H505&gt;=4000,H505&lt;5000),0.5,0))</f>
        <v>1</v>
      </c>
      <c r="R505">
        <f>0.35*AVERAGE(L505:M505:N505)+0.3*O505+0.2*P505+0.15*Q505</f>
        <v>0.15</v>
      </c>
      <c r="S505" t="str">
        <f>LEFT(K505,1)</f>
        <v/>
      </c>
      <c r="T505">
        <f>IF(S505="G",1,0)</f>
        <v>0</v>
      </c>
      <c r="U505">
        <f>IF(S505="K",1,0)</f>
        <v>0</v>
      </c>
      <c r="V505">
        <f>IF(S505="M",1,0)</f>
        <v>0</v>
      </c>
      <c r="W505">
        <f>IF(S505="F",1,0)</f>
        <v>0</v>
      </c>
    </row>
    <row r="506" spans="1:23" x14ac:dyDescent="0.3">
      <c r="A506" t="s">
        <v>235</v>
      </c>
      <c r="B506">
        <v>2.12</v>
      </c>
      <c r="D506">
        <v>16.336334000000001</v>
      </c>
      <c r="E506">
        <v>8.72E-2</v>
      </c>
      <c r="F506">
        <v>308</v>
      </c>
      <c r="G506" t="str">
        <f>IF(OR(C506="",B506="",B506=0),"",5.51*(C506/(B506^3)))</f>
        <v/>
      </c>
      <c r="H506">
        <v>3298</v>
      </c>
      <c r="I506">
        <v>1.1419317354864287E-2</v>
      </c>
      <c r="J506">
        <v>-0.20899999999999999</v>
      </c>
      <c r="K506" t="s">
        <v>118</v>
      </c>
      <c r="L506">
        <f>IF(AND(B506&gt;=0.8,B506&lt;=1.5),1,IF(AND(B506&gt;=0.5,B506&lt;=2),0.5,0))</f>
        <v>0</v>
      </c>
      <c r="M506">
        <f>IF(AND(C506&gt;=0.5,C506&lt;=2),1,IF(AND(C506&gt;=0.1,C506&lt;=5),0.5,0))</f>
        <v>0</v>
      </c>
      <c r="N506">
        <f>IF(AND(G506&gt;=4,G506&lt;=7),1,IF(AND(G506&gt;=3,G506&lt;=8),0.5,0))</f>
        <v>0</v>
      </c>
      <c r="O506">
        <f>IF(AND(F506&gt;=270,F506&lt;=310),1,IF(AND(F506&gt;=250,F506&lt;=330),0.5,0))</f>
        <v>1</v>
      </c>
      <c r="P506">
        <f>IF(AND(E506&gt;=0.8,E506&lt;=1.5),1,IF(AND(E506&gt;=0.5,E506&lt;=2),0.5,0))</f>
        <v>0</v>
      </c>
      <c r="Q506">
        <f>IF(AND(H506&gt;=5000,H506&lt;=6000),1,IF(AND(H506&gt;=4000,H506&lt;5000),0.5,0))</f>
        <v>0</v>
      </c>
      <c r="R506">
        <f>0.35*AVERAGE(L506:M506:N506)+0.3*O506+0.2*P506+0.15*Q506</f>
        <v>0.3</v>
      </c>
      <c r="S506" t="str">
        <f>LEFT(K506,1)</f>
        <v>M</v>
      </c>
      <c r="T506">
        <f>IF(S506="G",1,0)</f>
        <v>0</v>
      </c>
      <c r="U506">
        <f>IF(S506="K",1,0)</f>
        <v>0</v>
      </c>
      <c r="V506">
        <f>IF(S506="M",1,0)</f>
        <v>1</v>
      </c>
      <c r="W506">
        <f>IF(S506="F",1,0)</f>
        <v>0</v>
      </c>
    </row>
    <row r="507" spans="1:23" x14ac:dyDescent="0.3">
      <c r="A507" t="s">
        <v>234</v>
      </c>
      <c r="B507">
        <v>2.266</v>
      </c>
      <c r="D507">
        <v>5.5382498</v>
      </c>
      <c r="E507">
        <v>5.2510000000000001E-2</v>
      </c>
      <c r="F507">
        <v>633.6</v>
      </c>
      <c r="G507" t="str">
        <f>IF(OR(C507="",B507="",B507=0),"",5.51*(C507/(B507^3)))</f>
        <v/>
      </c>
      <c r="H507">
        <v>3901</v>
      </c>
      <c r="I507">
        <v>7.4549939611536373E-2</v>
      </c>
      <c r="K507" t="s">
        <v>96</v>
      </c>
      <c r="L507">
        <f>IF(AND(B507&gt;=0.8,B507&lt;=1.5),1,IF(AND(B507&gt;=0.5,B507&lt;=2),0.5,0))</f>
        <v>0</v>
      </c>
      <c r="M507">
        <f>IF(AND(C507&gt;=0.5,C507&lt;=2),1,IF(AND(C507&gt;=0.1,C507&lt;=5),0.5,0))</f>
        <v>0</v>
      </c>
      <c r="N507">
        <f>IF(AND(G507&gt;=4,G507&lt;=7),1,IF(AND(G507&gt;=3,G507&lt;=8),0.5,0))</f>
        <v>0</v>
      </c>
      <c r="O507">
        <f>IF(AND(F507&gt;=270,F507&lt;=310),1,IF(AND(F507&gt;=250,F507&lt;=330),0.5,0))</f>
        <v>0</v>
      </c>
      <c r="P507">
        <f>IF(AND(E507&gt;=0.8,E507&lt;=1.5),1,IF(AND(E507&gt;=0.5,E507&lt;=2),0.5,0))</f>
        <v>0</v>
      </c>
      <c r="Q507">
        <f>IF(AND(H507&gt;=5000,H507&lt;=6000),1,IF(AND(H507&gt;=4000,H507&lt;5000),0.5,0))</f>
        <v>0</v>
      </c>
      <c r="R507">
        <f>0.35*AVERAGE(L507:M507:N507)+0.3*O507+0.2*P507+0.15*Q507</f>
        <v>0</v>
      </c>
      <c r="S507" t="str">
        <f>LEFT(K507,1)</f>
        <v>M</v>
      </c>
      <c r="T507">
        <f>IF(S507="G",1,0)</f>
        <v>0</v>
      </c>
      <c r="U507">
        <f>IF(S507="K",1,0)</f>
        <v>0</v>
      </c>
      <c r="V507">
        <f>IF(S507="M",1,0)</f>
        <v>1</v>
      </c>
      <c r="W507">
        <f>IF(S507="F",1,0)</f>
        <v>0</v>
      </c>
    </row>
    <row r="508" spans="1:23" x14ac:dyDescent="0.3">
      <c r="A508" t="s">
        <v>233</v>
      </c>
      <c r="B508">
        <v>2.415</v>
      </c>
      <c r="D508">
        <v>10.688715999999999</v>
      </c>
      <c r="E508">
        <v>8.14E-2</v>
      </c>
      <c r="F508">
        <v>508.9</v>
      </c>
      <c r="G508" t="str">
        <f>IF(OR(C508="",B508="",B508=0),"",5.51*(C508/(B508^3)))</f>
        <v/>
      </c>
      <c r="H508">
        <v>3901</v>
      </c>
      <c r="I508">
        <v>7.4549939611536373E-2</v>
      </c>
      <c r="K508" t="s">
        <v>96</v>
      </c>
      <c r="L508">
        <f>IF(AND(B508&gt;=0.8,B508&lt;=1.5),1,IF(AND(B508&gt;=0.5,B508&lt;=2),0.5,0))</f>
        <v>0</v>
      </c>
      <c r="M508">
        <f>IF(AND(C508&gt;=0.5,C508&lt;=2),1,IF(AND(C508&gt;=0.1,C508&lt;=5),0.5,0))</f>
        <v>0</v>
      </c>
      <c r="N508">
        <f>IF(AND(G508&gt;=4,G508&lt;=7),1,IF(AND(G508&gt;=3,G508&lt;=8),0.5,0))</f>
        <v>0</v>
      </c>
      <c r="O508">
        <f>IF(AND(F508&gt;=270,F508&lt;=310),1,IF(AND(F508&gt;=250,F508&lt;=330),0.5,0))</f>
        <v>0</v>
      </c>
      <c r="P508">
        <f>IF(AND(E508&gt;=0.8,E508&lt;=1.5),1,IF(AND(E508&gt;=0.5,E508&lt;=2),0.5,0))</f>
        <v>0</v>
      </c>
      <c r="Q508">
        <f>IF(AND(H508&gt;=5000,H508&lt;=6000),1,IF(AND(H508&gt;=4000,H508&lt;5000),0.5,0))</f>
        <v>0</v>
      </c>
      <c r="R508">
        <f>0.35*AVERAGE(L508:M508:N508)+0.3*O508+0.2*P508+0.15*Q508</f>
        <v>0</v>
      </c>
      <c r="S508" t="str">
        <f>LEFT(K508,1)</f>
        <v>M</v>
      </c>
      <c r="T508">
        <f>IF(S508="G",1,0)</f>
        <v>0</v>
      </c>
      <c r="U508">
        <f>IF(S508="K",1,0)</f>
        <v>0</v>
      </c>
      <c r="V508">
        <f>IF(S508="M",1,0)</f>
        <v>1</v>
      </c>
      <c r="W508">
        <f>IF(S508="F",1,0)</f>
        <v>0</v>
      </c>
    </row>
    <row r="509" spans="1:23" x14ac:dyDescent="0.3">
      <c r="A509" t="s">
        <v>232</v>
      </c>
      <c r="B509">
        <v>2.0099999999999998</v>
      </c>
      <c r="D509">
        <v>5.4240190000000004</v>
      </c>
      <c r="E509">
        <v>4.7530000000000003E-2</v>
      </c>
      <c r="F509">
        <v>488</v>
      </c>
      <c r="G509" t="str">
        <f>IF(OR(C509="",B509="",B509=0),"",5.51*(C509/(B509^3)))</f>
        <v/>
      </c>
      <c r="H509">
        <v>3528</v>
      </c>
      <c r="I509">
        <v>3.0495652390129187E-2</v>
      </c>
      <c r="J509">
        <v>0.14799999999999999</v>
      </c>
      <c r="K509" t="s">
        <v>60</v>
      </c>
      <c r="L509">
        <f>IF(AND(B509&gt;=0.8,B509&lt;=1.5),1,IF(AND(B509&gt;=0.5,B509&lt;=2),0.5,0))</f>
        <v>0</v>
      </c>
      <c r="M509">
        <f>IF(AND(C509&gt;=0.5,C509&lt;=2),1,IF(AND(C509&gt;=0.1,C509&lt;=5),0.5,0))</f>
        <v>0</v>
      </c>
      <c r="N509">
        <f>IF(AND(G509&gt;=4,G509&lt;=7),1,IF(AND(G509&gt;=3,G509&lt;=8),0.5,0))</f>
        <v>0</v>
      </c>
      <c r="O509">
        <f>IF(AND(F509&gt;=270,F509&lt;=310),1,IF(AND(F509&gt;=250,F509&lt;=330),0.5,0))</f>
        <v>0</v>
      </c>
      <c r="P509">
        <f>IF(AND(E509&gt;=0.8,E509&lt;=1.5),1,IF(AND(E509&gt;=0.5,E509&lt;=2),0.5,0))</f>
        <v>0</v>
      </c>
      <c r="Q509">
        <f>IF(AND(H509&gt;=5000,H509&lt;=6000),1,IF(AND(H509&gt;=4000,H509&lt;5000),0.5,0))</f>
        <v>0</v>
      </c>
      <c r="R509">
        <f>0.35*AVERAGE(L509:M509:N509)+0.3*O509+0.2*P509+0.15*Q509</f>
        <v>0</v>
      </c>
      <c r="S509" t="str">
        <f>LEFT(K509,1)</f>
        <v>M</v>
      </c>
      <c r="T509">
        <f>IF(S509="G",1,0)</f>
        <v>0</v>
      </c>
      <c r="U509">
        <f>IF(S509="K",1,0)</f>
        <v>0</v>
      </c>
      <c r="V509">
        <f>IF(S509="M",1,0)</f>
        <v>1</v>
      </c>
      <c r="W509">
        <f>IF(S509="F",1,0)</f>
        <v>0</v>
      </c>
    </row>
    <row r="510" spans="1:23" x14ac:dyDescent="0.3">
      <c r="A510" t="s">
        <v>231</v>
      </c>
      <c r="B510">
        <v>15.109705979999999</v>
      </c>
      <c r="C510">
        <v>304.16178550000001</v>
      </c>
      <c r="D510">
        <v>4.3780809999999999</v>
      </c>
      <c r="E510">
        <v>5.79E-2</v>
      </c>
      <c r="G510">
        <f>IF(OR(C510="",B510="",B510=0),"",5.51*(C510/(B510^3)))</f>
        <v>0.4858343386221522</v>
      </c>
      <c r="H510">
        <v>4974</v>
      </c>
      <c r="I510">
        <v>6.8045326245967734</v>
      </c>
      <c r="J510">
        <v>0.20499999999999999</v>
      </c>
      <c r="L510">
        <f>IF(AND(B510&gt;=0.8,B510&lt;=1.5),1,IF(AND(B510&gt;=0.5,B510&lt;=2),0.5,0))</f>
        <v>0</v>
      </c>
      <c r="M510">
        <f>IF(AND(C510&gt;=0.5,C510&lt;=2),1,IF(AND(C510&gt;=0.1,C510&lt;=5),0.5,0))</f>
        <v>0</v>
      </c>
      <c r="N510">
        <f>IF(AND(G510&gt;=4,G510&lt;=7),1,IF(AND(G510&gt;=3,G510&lt;=8),0.5,0))</f>
        <v>0</v>
      </c>
      <c r="O510">
        <f>IF(AND(F510&gt;=270,F510&lt;=310),1,IF(AND(F510&gt;=250,F510&lt;=330),0.5,0))</f>
        <v>0</v>
      </c>
      <c r="P510">
        <f>IF(AND(E510&gt;=0.8,E510&lt;=1.5),1,IF(AND(E510&gt;=0.5,E510&lt;=2),0.5,0))</f>
        <v>0</v>
      </c>
      <c r="Q510">
        <f>IF(AND(H510&gt;=5000,H510&lt;=6000),1,IF(AND(H510&gt;=4000,H510&lt;5000),0.5,0))</f>
        <v>0.5</v>
      </c>
      <c r="R510">
        <f>0.35*AVERAGE(L510:M510:N510)+0.3*O510+0.2*P510+0.15*Q510</f>
        <v>7.4999999999999997E-2</v>
      </c>
      <c r="S510" t="str">
        <f>LEFT(K510,1)</f>
        <v/>
      </c>
      <c r="T510">
        <f>IF(S510="G",1,0)</f>
        <v>0</v>
      </c>
      <c r="U510">
        <f>IF(S510="K",1,0)</f>
        <v>0</v>
      </c>
      <c r="V510">
        <f>IF(S510="M",1,0)</f>
        <v>0</v>
      </c>
      <c r="W510">
        <f>IF(S510="F",1,0)</f>
        <v>0</v>
      </c>
    </row>
    <row r="511" spans="1:23" x14ac:dyDescent="0.3">
      <c r="A511" t="s">
        <v>230</v>
      </c>
      <c r="B511">
        <v>16.690172260000001</v>
      </c>
      <c r="C511">
        <v>353.74301699</v>
      </c>
      <c r="D511">
        <v>3.25352</v>
      </c>
      <c r="G511">
        <f>IF(OR(C511="",B511="",B511=0),"",5.51*(C511/(B511^3)))</f>
        <v>0.41923450226413383</v>
      </c>
      <c r="H511">
        <v>6020</v>
      </c>
      <c r="I511">
        <v>4.6009731145250541</v>
      </c>
      <c r="J511">
        <v>0.16</v>
      </c>
      <c r="L511">
        <f>IF(AND(B511&gt;=0.8,B511&lt;=1.5),1,IF(AND(B511&gt;=0.5,B511&lt;=2),0.5,0))</f>
        <v>0</v>
      </c>
      <c r="M511">
        <f>IF(AND(C511&gt;=0.5,C511&lt;=2),1,IF(AND(C511&gt;=0.1,C511&lt;=5),0.5,0))</f>
        <v>0</v>
      </c>
      <c r="N511">
        <f>IF(AND(G511&gt;=4,G511&lt;=7),1,IF(AND(G511&gt;=3,G511&lt;=8),0.5,0))</f>
        <v>0</v>
      </c>
      <c r="O511">
        <f>IF(AND(F511&gt;=270,F511&lt;=310),1,IF(AND(F511&gt;=250,F511&lt;=330),0.5,0))</f>
        <v>0</v>
      </c>
      <c r="P511">
        <f>IF(AND(E511&gt;=0.8,E511&lt;=1.5),1,IF(AND(E511&gt;=0.5,E511&lt;=2),0.5,0))</f>
        <v>0</v>
      </c>
      <c r="Q511">
        <f>IF(AND(H511&gt;=5000,H511&lt;=6000),1,IF(AND(H511&gt;=4000,H511&lt;5000),0.5,0))</f>
        <v>0</v>
      </c>
      <c r="R511">
        <f>0.35*AVERAGE(L511:M511:N511)+0.3*O511+0.2*P511+0.15*Q511</f>
        <v>0</v>
      </c>
      <c r="S511" t="str">
        <f>LEFT(K511,1)</f>
        <v/>
      </c>
      <c r="T511">
        <f>IF(S511="G",1,0)</f>
        <v>0</v>
      </c>
      <c r="U511">
        <f>IF(S511="K",1,0)</f>
        <v>0</v>
      </c>
      <c r="V511">
        <f>IF(S511="M",1,0)</f>
        <v>0</v>
      </c>
      <c r="W511">
        <f>IF(S511="F",1,0)</f>
        <v>0</v>
      </c>
    </row>
    <row r="512" spans="1:23" x14ac:dyDescent="0.3">
      <c r="A512" t="s">
        <v>229</v>
      </c>
      <c r="B512">
        <v>11.2089807</v>
      </c>
      <c r="C512">
        <v>95.348522099999997</v>
      </c>
      <c r="D512">
        <v>30.083639999999999</v>
      </c>
      <c r="E512">
        <v>0.20100000000000001</v>
      </c>
      <c r="F512">
        <v>904</v>
      </c>
      <c r="G512">
        <f>IF(OR(C512="",B512="",B512=0),"",5.51*(C512/(B512^3)))</f>
        <v>0.37305013422248978</v>
      </c>
      <c r="H512">
        <v>6219</v>
      </c>
      <c r="I512">
        <v>2.2333227905267328</v>
      </c>
      <c r="J512">
        <v>0.1</v>
      </c>
      <c r="L512">
        <f>IF(AND(B512&gt;=0.8,B512&lt;=1.5),1,IF(AND(B512&gt;=0.5,B512&lt;=2),0.5,0))</f>
        <v>0</v>
      </c>
      <c r="M512">
        <f>IF(AND(C512&gt;=0.5,C512&lt;=2),1,IF(AND(C512&gt;=0.1,C512&lt;=5),0.5,0))</f>
        <v>0</v>
      </c>
      <c r="N512">
        <f>IF(AND(G512&gt;=4,G512&lt;=7),1,IF(AND(G512&gt;=3,G512&lt;=8),0.5,0))</f>
        <v>0</v>
      </c>
      <c r="O512">
        <f>IF(AND(F512&gt;=270,F512&lt;=310),1,IF(AND(F512&gt;=250,F512&lt;=330),0.5,0))</f>
        <v>0</v>
      </c>
      <c r="P512">
        <f>IF(AND(E512&gt;=0.8,E512&lt;=1.5),1,IF(AND(E512&gt;=0.5,E512&lt;=2),0.5,0))</f>
        <v>0</v>
      </c>
      <c r="Q512">
        <f>IF(AND(H512&gt;=5000,H512&lt;=6000),1,IF(AND(H512&gt;=4000,H512&lt;5000),0.5,0))</f>
        <v>0</v>
      </c>
      <c r="R512">
        <f>0.35*AVERAGE(L512:M512:N512)+0.3*O512+0.2*P512+0.15*Q512</f>
        <v>0</v>
      </c>
      <c r="S512" t="str">
        <f>LEFT(K512,1)</f>
        <v/>
      </c>
      <c r="T512">
        <f>IF(S512="G",1,0)</f>
        <v>0</v>
      </c>
      <c r="U512">
        <f>IF(S512="K",1,0)</f>
        <v>0</v>
      </c>
      <c r="V512">
        <f>IF(S512="M",1,0)</f>
        <v>0</v>
      </c>
      <c r="W512">
        <f>IF(S512="F",1,0)</f>
        <v>0</v>
      </c>
    </row>
    <row r="513" spans="1:23" x14ac:dyDescent="0.3">
      <c r="A513" t="s">
        <v>228</v>
      </c>
      <c r="B513">
        <v>2.52</v>
      </c>
      <c r="C513">
        <v>5.4</v>
      </c>
      <c r="D513">
        <v>7.4462799999999998</v>
      </c>
      <c r="E513">
        <v>5.3400000000000003E-2</v>
      </c>
      <c r="F513">
        <v>435</v>
      </c>
      <c r="G513">
        <f>IF(OR(C513="",B513="",B513=0),"",5.51*(C513/(B513^3)))</f>
        <v>1.8592754562142317</v>
      </c>
      <c r="H513">
        <v>3422</v>
      </c>
      <c r="I513">
        <v>1.7025338311093152E-2</v>
      </c>
      <c r="J513">
        <v>-0.19</v>
      </c>
      <c r="K513" t="s">
        <v>192</v>
      </c>
      <c r="L513">
        <f>IF(AND(B513&gt;=0.8,B513&lt;=1.5),1,IF(AND(B513&gt;=0.5,B513&lt;=2),0.5,0))</f>
        <v>0</v>
      </c>
      <c r="M513">
        <f>IF(AND(C513&gt;=0.5,C513&lt;=2),1,IF(AND(C513&gt;=0.1,C513&lt;=5),0.5,0))</f>
        <v>0</v>
      </c>
      <c r="N513">
        <f>IF(AND(G513&gt;=4,G513&lt;=7),1,IF(AND(G513&gt;=3,G513&lt;=8),0.5,0))</f>
        <v>0</v>
      </c>
      <c r="O513">
        <f>IF(AND(F513&gt;=270,F513&lt;=310),1,IF(AND(F513&gt;=250,F513&lt;=330),0.5,0))</f>
        <v>0</v>
      </c>
      <c r="P513">
        <f>IF(AND(E513&gt;=0.8,E513&lt;=1.5),1,IF(AND(E513&gt;=0.5,E513&lt;=2),0.5,0))</f>
        <v>0</v>
      </c>
      <c r="Q513">
        <f>IF(AND(H513&gt;=5000,H513&lt;=6000),1,IF(AND(H513&gt;=4000,H513&lt;5000),0.5,0))</f>
        <v>0</v>
      </c>
      <c r="R513">
        <f>0.35*AVERAGE(L513:M513:N513)+0.3*O513+0.2*P513+0.15*Q513</f>
        <v>0</v>
      </c>
      <c r="S513" t="str">
        <f>LEFT(K513,1)</f>
        <v>M</v>
      </c>
      <c r="T513">
        <f>IF(S513="G",1,0)</f>
        <v>0</v>
      </c>
      <c r="U513">
        <f>IF(S513="K",1,0)</f>
        <v>0</v>
      </c>
      <c r="V513">
        <f>IF(S513="M",1,0)</f>
        <v>1</v>
      </c>
      <c r="W513">
        <f>IF(S513="F",1,0)</f>
        <v>0</v>
      </c>
    </row>
    <row r="514" spans="1:23" x14ac:dyDescent="0.3">
      <c r="A514" t="s">
        <v>227</v>
      </c>
      <c r="B514">
        <v>2.77</v>
      </c>
      <c r="D514">
        <v>17.9636</v>
      </c>
      <c r="E514">
        <v>0.13300000000000001</v>
      </c>
      <c r="F514">
        <v>609</v>
      </c>
      <c r="G514" t="str">
        <f>IF(OR(C514="",B514="",B514=0),"",5.51*(C514/(B514^3)))</f>
        <v/>
      </c>
      <c r="H514">
        <v>5225</v>
      </c>
      <c r="I514">
        <v>0.40579803942057507</v>
      </c>
      <c r="J514">
        <v>0.08</v>
      </c>
      <c r="K514" t="s">
        <v>226</v>
      </c>
      <c r="L514">
        <f>IF(AND(B514&gt;=0.8,B514&lt;=1.5),1,IF(AND(B514&gt;=0.5,B514&lt;=2),0.5,0))</f>
        <v>0</v>
      </c>
      <c r="M514">
        <f>IF(AND(C514&gt;=0.5,C514&lt;=2),1,IF(AND(C514&gt;=0.1,C514&lt;=5),0.5,0))</f>
        <v>0</v>
      </c>
      <c r="N514">
        <f>IF(AND(G514&gt;=4,G514&lt;=7),1,IF(AND(G514&gt;=3,G514&lt;=8),0.5,0))</f>
        <v>0</v>
      </c>
      <c r="O514">
        <f>IF(AND(F514&gt;=270,F514&lt;=310),1,IF(AND(F514&gt;=250,F514&lt;=330),0.5,0))</f>
        <v>0</v>
      </c>
      <c r="P514">
        <f>IF(AND(E514&gt;=0.8,E514&lt;=1.5),1,IF(AND(E514&gt;=0.5,E514&lt;=2),0.5,0))</f>
        <v>0</v>
      </c>
      <c r="Q514">
        <f>IF(AND(H514&gt;=5000,H514&lt;=6000),1,IF(AND(H514&gt;=4000,H514&lt;5000),0.5,0))</f>
        <v>1</v>
      </c>
      <c r="R514">
        <f>0.35*AVERAGE(L514:M514:N514)+0.3*O514+0.2*P514+0.15*Q514</f>
        <v>0.15</v>
      </c>
      <c r="S514" t="str">
        <f>LEFT(K514,1)</f>
        <v>K</v>
      </c>
      <c r="T514">
        <f>IF(S514="G",1,0)</f>
        <v>0</v>
      </c>
      <c r="U514">
        <f>IF(S514="K",1,0)</f>
        <v>1</v>
      </c>
      <c r="V514">
        <f>IF(S514="M",1,0)</f>
        <v>0</v>
      </c>
      <c r="W514">
        <f>IF(S514="F",1,0)</f>
        <v>0</v>
      </c>
    </row>
    <row r="515" spans="1:23" x14ac:dyDescent="0.3">
      <c r="A515" t="s">
        <v>225</v>
      </c>
      <c r="B515">
        <v>1.7193265</v>
      </c>
      <c r="D515">
        <v>1.8498566999999999</v>
      </c>
      <c r="E515">
        <v>2.9962645E-2</v>
      </c>
      <c r="F515">
        <v>1638.82</v>
      </c>
      <c r="G515" t="str">
        <f>IF(OR(C515="",B515="",B515=0),"",5.51*(C515/(B515^3)))</f>
        <v/>
      </c>
      <c r="H515">
        <v>5834</v>
      </c>
      <c r="I515">
        <v>1.0756704848832368</v>
      </c>
      <c r="L515">
        <f>IF(AND(B515&gt;=0.8,B515&lt;=1.5),1,IF(AND(B515&gt;=0.5,B515&lt;=2),0.5,0))</f>
        <v>0.5</v>
      </c>
      <c r="M515">
        <f>IF(AND(C515&gt;=0.5,C515&lt;=2),1,IF(AND(C515&gt;=0.1,C515&lt;=5),0.5,0))</f>
        <v>0</v>
      </c>
      <c r="N515">
        <f>IF(AND(G515&gt;=4,G515&lt;=7),1,IF(AND(G515&gt;=3,G515&lt;=8),0.5,0))</f>
        <v>0</v>
      </c>
      <c r="O515">
        <f>IF(AND(F515&gt;=270,F515&lt;=310),1,IF(AND(F515&gt;=250,F515&lt;=330),0.5,0))</f>
        <v>0</v>
      </c>
      <c r="P515">
        <f>IF(AND(E515&gt;=0.8,E515&lt;=1.5),1,IF(AND(E515&gt;=0.5,E515&lt;=2),0.5,0))</f>
        <v>0</v>
      </c>
      <c r="Q515">
        <f>IF(AND(H515&gt;=5000,H515&lt;=6000),1,IF(AND(H515&gt;=4000,H515&lt;5000),0.5,0))</f>
        <v>1</v>
      </c>
      <c r="R515">
        <f>0.35*AVERAGE(L515:M515:N515)+0.3*O515+0.2*P515+0.15*Q515</f>
        <v>0.20833333333333331</v>
      </c>
      <c r="S515" t="str">
        <f>LEFT(K515,1)</f>
        <v/>
      </c>
      <c r="T515">
        <f>IF(S515="G",1,0)</f>
        <v>0</v>
      </c>
      <c r="U515">
        <f>IF(S515="K",1,0)</f>
        <v>0</v>
      </c>
      <c r="V515">
        <f>IF(S515="M",1,0)</f>
        <v>0</v>
      </c>
      <c r="W515">
        <f>IF(S515="F",1,0)</f>
        <v>0</v>
      </c>
    </row>
    <row r="516" spans="1:23" x14ac:dyDescent="0.3">
      <c r="A516" t="s">
        <v>224</v>
      </c>
      <c r="B516">
        <v>13.260224170000001</v>
      </c>
      <c r="C516">
        <v>252.35575516</v>
      </c>
      <c r="D516">
        <v>2.8807198000000001</v>
      </c>
      <c r="E516">
        <v>4.036E-2</v>
      </c>
      <c r="F516">
        <v>1395</v>
      </c>
      <c r="G516">
        <f>IF(OR(C516="",B516="",B516=0),"",5.51*(C516/(B516^3)))</f>
        <v>0.59636509194325893</v>
      </c>
      <c r="H516">
        <v>5640</v>
      </c>
      <c r="I516">
        <v>1.0238947104485383</v>
      </c>
      <c r="J516">
        <v>0.25</v>
      </c>
      <c r="L516">
        <f>IF(AND(B516&gt;=0.8,B516&lt;=1.5),1,IF(AND(B516&gt;=0.5,B516&lt;=2),0.5,0))</f>
        <v>0</v>
      </c>
      <c r="M516">
        <f>IF(AND(C516&gt;=0.5,C516&lt;=2),1,IF(AND(C516&gt;=0.1,C516&lt;=5),0.5,0))</f>
        <v>0</v>
      </c>
      <c r="N516">
        <f>IF(AND(G516&gt;=4,G516&lt;=7),1,IF(AND(G516&gt;=3,G516&lt;=8),0.5,0))</f>
        <v>0</v>
      </c>
      <c r="O516">
        <f>IF(AND(F516&gt;=270,F516&lt;=310),1,IF(AND(F516&gt;=250,F516&lt;=330),0.5,0))</f>
        <v>0</v>
      </c>
      <c r="P516">
        <f>IF(AND(E516&gt;=0.8,E516&lt;=1.5),1,IF(AND(E516&gt;=0.5,E516&lt;=2),0.5,0))</f>
        <v>0</v>
      </c>
      <c r="Q516">
        <f>IF(AND(H516&gt;=5000,H516&lt;=6000),1,IF(AND(H516&gt;=4000,H516&lt;5000),0.5,0))</f>
        <v>1</v>
      </c>
      <c r="R516">
        <f>0.35*AVERAGE(L516:M516:N516)+0.3*O516+0.2*P516+0.15*Q516</f>
        <v>0.15</v>
      </c>
      <c r="S516" t="str">
        <f>LEFT(K516,1)</f>
        <v/>
      </c>
      <c r="T516">
        <f>IF(S516="G",1,0)</f>
        <v>0</v>
      </c>
      <c r="U516">
        <f>IF(S516="K",1,0)</f>
        <v>0</v>
      </c>
      <c r="V516">
        <f>IF(S516="M",1,0)</f>
        <v>0</v>
      </c>
      <c r="W516">
        <f>IF(S516="F",1,0)</f>
        <v>0</v>
      </c>
    </row>
    <row r="517" spans="1:23" x14ac:dyDescent="0.3">
      <c r="A517" t="s">
        <v>223</v>
      </c>
      <c r="B517">
        <v>14.011225870000001</v>
      </c>
      <c r="C517">
        <v>1872.0093172300001</v>
      </c>
      <c r="D517">
        <v>101.94054</v>
      </c>
      <c r="E517">
        <v>0.41599999999999998</v>
      </c>
      <c r="F517">
        <v>427</v>
      </c>
      <c r="G517">
        <f>IF(OR(C517="",B517="",B517=0),"",5.51*(C517/(B517^3)))</f>
        <v>3.7499994332548972</v>
      </c>
      <c r="H517">
        <v>5545</v>
      </c>
      <c r="I517">
        <v>0.87211139678220462</v>
      </c>
      <c r="J517">
        <v>-0.06</v>
      </c>
      <c r="K517" t="s">
        <v>12</v>
      </c>
      <c r="L517">
        <f>IF(AND(B517&gt;=0.8,B517&lt;=1.5),1,IF(AND(B517&gt;=0.5,B517&lt;=2),0.5,0))</f>
        <v>0</v>
      </c>
      <c r="M517">
        <f>IF(AND(C517&gt;=0.5,C517&lt;=2),1,IF(AND(C517&gt;=0.1,C517&lt;=5),0.5,0))</f>
        <v>0</v>
      </c>
      <c r="N517">
        <f>IF(AND(G517&gt;=4,G517&lt;=7),1,IF(AND(G517&gt;=3,G517&lt;=8),0.5,0))</f>
        <v>0.5</v>
      </c>
      <c r="O517">
        <f>IF(AND(F517&gt;=270,F517&lt;=310),1,IF(AND(F517&gt;=250,F517&lt;=330),0.5,0))</f>
        <v>0</v>
      </c>
      <c r="P517">
        <f>IF(AND(E517&gt;=0.8,E517&lt;=1.5),1,IF(AND(E517&gt;=0.5,E517&lt;=2),0.5,0))</f>
        <v>0</v>
      </c>
      <c r="Q517">
        <f>IF(AND(H517&gt;=5000,H517&lt;=6000),1,IF(AND(H517&gt;=4000,H517&lt;5000),0.5,0))</f>
        <v>1</v>
      </c>
      <c r="R517">
        <f>0.35*AVERAGE(L517:M517:N517)+0.3*O517+0.2*P517+0.15*Q517</f>
        <v>0.20833333333333331</v>
      </c>
      <c r="S517" t="str">
        <f>LEFT(K517,1)</f>
        <v>G</v>
      </c>
      <c r="T517">
        <f>IF(S517="G",1,0)</f>
        <v>1</v>
      </c>
      <c r="U517">
        <f>IF(S517="K",1,0)</f>
        <v>0</v>
      </c>
      <c r="V517">
        <f>IF(S517="M",1,0)</f>
        <v>0</v>
      </c>
      <c r="W517">
        <f>IF(S517="F",1,0)</f>
        <v>0</v>
      </c>
    </row>
    <row r="518" spans="1:23" x14ac:dyDescent="0.3">
      <c r="A518" t="s">
        <v>222</v>
      </c>
      <c r="B518">
        <v>2.82</v>
      </c>
      <c r="D518">
        <v>1.1589</v>
      </c>
      <c r="E518">
        <v>1.6400000000000001E-2</v>
      </c>
      <c r="F518">
        <v>861</v>
      </c>
      <c r="G518" t="str">
        <f>IF(OR(C518="",B518="",B518=0),"",5.51*(C518/(B518^3)))</f>
        <v/>
      </c>
      <c r="H518">
        <v>3400</v>
      </c>
      <c r="I518">
        <v>2.4387012556941805E-2</v>
      </c>
      <c r="J518">
        <v>0</v>
      </c>
      <c r="K518" t="s">
        <v>106</v>
      </c>
      <c r="L518">
        <f>IF(AND(B518&gt;=0.8,B518&lt;=1.5),1,IF(AND(B518&gt;=0.5,B518&lt;=2),0.5,0))</f>
        <v>0</v>
      </c>
      <c r="M518">
        <f>IF(AND(C518&gt;=0.5,C518&lt;=2),1,IF(AND(C518&gt;=0.1,C518&lt;=5),0.5,0))</f>
        <v>0</v>
      </c>
      <c r="N518">
        <f>IF(AND(G518&gt;=4,G518&lt;=7),1,IF(AND(G518&gt;=3,G518&lt;=8),0.5,0))</f>
        <v>0</v>
      </c>
      <c r="O518">
        <f>IF(AND(F518&gt;=270,F518&lt;=310),1,IF(AND(F518&gt;=250,F518&lt;=330),0.5,0))</f>
        <v>0</v>
      </c>
      <c r="P518">
        <f>IF(AND(E518&gt;=0.8,E518&lt;=1.5),1,IF(AND(E518&gt;=0.5,E518&lt;=2),0.5,0))</f>
        <v>0</v>
      </c>
      <c r="Q518">
        <f>IF(AND(H518&gt;=5000,H518&lt;=6000),1,IF(AND(H518&gt;=4000,H518&lt;5000),0.5,0))</f>
        <v>0</v>
      </c>
      <c r="R518">
        <f>0.35*AVERAGE(L518:M518:N518)+0.3*O518+0.2*P518+0.15*Q518</f>
        <v>0</v>
      </c>
      <c r="S518" t="str">
        <f>LEFT(K518,1)</f>
        <v>M</v>
      </c>
      <c r="T518">
        <f>IF(S518="G",1,0)</f>
        <v>0</v>
      </c>
      <c r="U518">
        <f>IF(S518="K",1,0)</f>
        <v>0</v>
      </c>
      <c r="V518">
        <f>IF(S518="M",1,0)</f>
        <v>1</v>
      </c>
      <c r="W518">
        <f>IF(S518="F",1,0)</f>
        <v>0</v>
      </c>
    </row>
    <row r="519" spans="1:23" x14ac:dyDescent="0.3">
      <c r="A519" t="s">
        <v>221</v>
      </c>
      <c r="B519">
        <v>14.60530185</v>
      </c>
      <c r="C519">
        <v>397.28550875000002</v>
      </c>
      <c r="D519">
        <v>3.9540709000000001</v>
      </c>
      <c r="E519">
        <v>5.4480000000000001E-2</v>
      </c>
      <c r="F519">
        <v>1639</v>
      </c>
      <c r="G519">
        <f>IF(OR(C519="",B519="",B519=0),"",5.51*(C519/(B519^3)))</f>
        <v>0.70262356596925801</v>
      </c>
      <c r="H519">
        <v>6206</v>
      </c>
      <c r="I519">
        <v>3.5533749741476486</v>
      </c>
      <c r="J519">
        <v>0.216</v>
      </c>
      <c r="L519">
        <f>IF(AND(B519&gt;=0.8,B519&lt;=1.5),1,IF(AND(B519&gt;=0.5,B519&lt;=2),0.5,0))</f>
        <v>0</v>
      </c>
      <c r="M519">
        <f>IF(AND(C519&gt;=0.5,C519&lt;=2),1,IF(AND(C519&gt;=0.1,C519&lt;=5),0.5,0))</f>
        <v>0</v>
      </c>
      <c r="N519">
        <f>IF(AND(G519&gt;=4,G519&lt;=7),1,IF(AND(G519&gt;=3,G519&lt;=8),0.5,0))</f>
        <v>0</v>
      </c>
      <c r="O519">
        <f>IF(AND(F519&gt;=270,F519&lt;=310),1,IF(AND(F519&gt;=250,F519&lt;=330),0.5,0))</f>
        <v>0</v>
      </c>
      <c r="P519">
        <f>IF(AND(E519&gt;=0.8,E519&lt;=1.5),1,IF(AND(E519&gt;=0.5,E519&lt;=2),0.5,0))</f>
        <v>0</v>
      </c>
      <c r="Q519">
        <f>IF(AND(H519&gt;=5000,H519&lt;=6000),1,IF(AND(H519&gt;=4000,H519&lt;5000),0.5,0))</f>
        <v>0</v>
      </c>
      <c r="R519">
        <f>0.35*AVERAGE(L519:M519:N519)+0.3*O519+0.2*P519+0.15*Q519</f>
        <v>0</v>
      </c>
      <c r="S519" t="str">
        <f>LEFT(K519,1)</f>
        <v/>
      </c>
      <c r="T519">
        <f>IF(S519="G",1,0)</f>
        <v>0</v>
      </c>
      <c r="U519">
        <f>IF(S519="K",1,0)</f>
        <v>0</v>
      </c>
      <c r="V519">
        <f>IF(S519="M",1,0)</f>
        <v>0</v>
      </c>
      <c r="W519">
        <f>IF(S519="F",1,0)</f>
        <v>0</v>
      </c>
    </row>
    <row r="520" spans="1:23" x14ac:dyDescent="0.3">
      <c r="A520" t="s">
        <v>220</v>
      </c>
      <c r="B520">
        <v>3.6304500000000002</v>
      </c>
      <c r="D520">
        <v>5.1830043000000003</v>
      </c>
      <c r="E520">
        <v>6.1732576999999997E-2</v>
      </c>
      <c r="F520">
        <v>1382.67</v>
      </c>
      <c r="G520" t="str">
        <f>IF(OR(C520="",B520="",B520=0),"",5.51*(C520/(B520^3)))</f>
        <v/>
      </c>
      <c r="H520">
        <v>6156</v>
      </c>
      <c r="I520">
        <v>2.3136299166000662</v>
      </c>
      <c r="L520">
        <f>IF(AND(B520&gt;=0.8,B520&lt;=1.5),1,IF(AND(B520&gt;=0.5,B520&lt;=2),0.5,0))</f>
        <v>0</v>
      </c>
      <c r="M520">
        <f>IF(AND(C520&gt;=0.5,C520&lt;=2),1,IF(AND(C520&gt;=0.1,C520&lt;=5),0.5,0))</f>
        <v>0</v>
      </c>
      <c r="N520">
        <f>IF(AND(G520&gt;=4,G520&lt;=7),1,IF(AND(G520&gt;=3,G520&lt;=8),0.5,0))</f>
        <v>0</v>
      </c>
      <c r="O520">
        <f>IF(AND(F520&gt;=270,F520&lt;=310),1,IF(AND(F520&gt;=250,F520&lt;=330),0.5,0))</f>
        <v>0</v>
      </c>
      <c r="P520">
        <f>IF(AND(E520&gt;=0.8,E520&lt;=1.5),1,IF(AND(E520&gt;=0.5,E520&lt;=2),0.5,0))</f>
        <v>0</v>
      </c>
      <c r="Q520">
        <f>IF(AND(H520&gt;=5000,H520&lt;=6000),1,IF(AND(H520&gt;=4000,H520&lt;5000),0.5,0))</f>
        <v>0</v>
      </c>
      <c r="R520">
        <f>0.35*AVERAGE(L520:M520:N520)+0.3*O520+0.2*P520+0.15*Q520</f>
        <v>0</v>
      </c>
      <c r="S520" t="str">
        <f>LEFT(K520,1)</f>
        <v/>
      </c>
      <c r="T520">
        <f>IF(S520="G",1,0)</f>
        <v>0</v>
      </c>
      <c r="U520">
        <f>IF(S520="K",1,0)</f>
        <v>0</v>
      </c>
      <c r="V520">
        <f>IF(S520="M",1,0)</f>
        <v>0</v>
      </c>
      <c r="W520">
        <f>IF(S520="F",1,0)</f>
        <v>0</v>
      </c>
    </row>
    <row r="521" spans="1:23" x14ac:dyDescent="0.3">
      <c r="A521" t="s">
        <v>219</v>
      </c>
      <c r="B521">
        <v>2.6909999999999998</v>
      </c>
      <c r="D521">
        <v>2.4261400000000002</v>
      </c>
      <c r="E521">
        <v>3.3919999999999999E-2</v>
      </c>
      <c r="G521" t="str">
        <f>IF(OR(C521="",B521="",B521=0),"",5.51*(C521/(B521^3)))</f>
        <v/>
      </c>
      <c r="H521">
        <v>5315</v>
      </c>
      <c r="I521">
        <v>0.60600831076170714</v>
      </c>
      <c r="J521">
        <v>0.16</v>
      </c>
      <c r="K521" t="s">
        <v>217</v>
      </c>
      <c r="L521">
        <f>IF(AND(B521&gt;=0.8,B521&lt;=1.5),1,IF(AND(B521&gt;=0.5,B521&lt;=2),0.5,0))</f>
        <v>0</v>
      </c>
      <c r="M521">
        <f>IF(AND(C521&gt;=0.5,C521&lt;=2),1,IF(AND(C521&gt;=0.1,C521&lt;=5),0.5,0))</f>
        <v>0</v>
      </c>
      <c r="N521">
        <f>IF(AND(G521&gt;=4,G521&lt;=7),1,IF(AND(G521&gt;=3,G521&lt;=8),0.5,0))</f>
        <v>0</v>
      </c>
      <c r="O521">
        <f>IF(AND(F521&gt;=270,F521&lt;=310),1,IF(AND(F521&gt;=250,F521&lt;=330),0.5,0))</f>
        <v>0</v>
      </c>
      <c r="P521">
        <f>IF(AND(E521&gt;=0.8,E521&lt;=1.5),1,IF(AND(E521&gt;=0.5,E521&lt;=2),0.5,0))</f>
        <v>0</v>
      </c>
      <c r="Q521">
        <f>IF(AND(H521&gt;=5000,H521&lt;=6000),1,IF(AND(H521&gt;=4000,H521&lt;5000),0.5,0))</f>
        <v>1</v>
      </c>
      <c r="R521">
        <f>0.35*AVERAGE(L521:M521:N521)+0.3*O521+0.2*P521+0.15*Q521</f>
        <v>0.15</v>
      </c>
      <c r="S521" t="str">
        <f>LEFT(K521,1)</f>
        <v>K</v>
      </c>
      <c r="T521">
        <f>IF(S521="G",1,0)</f>
        <v>0</v>
      </c>
      <c r="U521">
        <f>IF(S521="K",1,0)</f>
        <v>1</v>
      </c>
      <c r="V521">
        <f>IF(S521="M",1,0)</f>
        <v>0</v>
      </c>
      <c r="W521">
        <f>IF(S521="F",1,0)</f>
        <v>0</v>
      </c>
    </row>
    <row r="522" spans="1:23" x14ac:dyDescent="0.3">
      <c r="A522" t="s">
        <v>218</v>
      </c>
      <c r="B522">
        <v>11.096890889999999</v>
      </c>
      <c r="C522">
        <v>1197.32317485</v>
      </c>
      <c r="D522">
        <v>82.972130000000007</v>
      </c>
      <c r="E522">
        <v>0.3569</v>
      </c>
      <c r="G522">
        <f>IF(OR(C522="",B522="",B522=0),"",5.51*(C522/(B522^3)))</f>
        <v>4.8279086026825757</v>
      </c>
      <c r="H522">
        <v>5315</v>
      </c>
      <c r="I522">
        <v>0.60600831076170714</v>
      </c>
      <c r="J522">
        <v>0.16</v>
      </c>
      <c r="K522" t="s">
        <v>217</v>
      </c>
      <c r="L522">
        <f>IF(AND(B522&gt;=0.8,B522&lt;=1.5),1,IF(AND(B522&gt;=0.5,B522&lt;=2),0.5,0))</f>
        <v>0</v>
      </c>
      <c r="M522">
        <f>IF(AND(C522&gt;=0.5,C522&lt;=2),1,IF(AND(C522&gt;=0.1,C522&lt;=5),0.5,0))</f>
        <v>0</v>
      </c>
      <c r="N522">
        <f>IF(AND(G522&gt;=4,G522&lt;=7),1,IF(AND(G522&gt;=3,G522&lt;=8),0.5,0))</f>
        <v>1</v>
      </c>
      <c r="O522">
        <f>IF(AND(F522&gt;=270,F522&lt;=310),1,IF(AND(F522&gt;=250,F522&lt;=330),0.5,0))</f>
        <v>0</v>
      </c>
      <c r="P522">
        <f>IF(AND(E522&gt;=0.8,E522&lt;=1.5),1,IF(AND(E522&gt;=0.5,E522&lt;=2),0.5,0))</f>
        <v>0</v>
      </c>
      <c r="Q522">
        <f>IF(AND(H522&gt;=5000,H522&lt;=6000),1,IF(AND(H522&gt;=4000,H522&lt;5000),0.5,0))</f>
        <v>1</v>
      </c>
      <c r="R522">
        <f>0.35*AVERAGE(L522:M522:N522)+0.3*O522+0.2*P522+0.15*Q522</f>
        <v>0.26666666666666666</v>
      </c>
      <c r="S522" t="str">
        <f>LEFT(K522,1)</f>
        <v>K</v>
      </c>
      <c r="T522">
        <f>IF(S522="G",1,0)</f>
        <v>0</v>
      </c>
      <c r="U522">
        <f>IF(S522="K",1,0)</f>
        <v>1</v>
      </c>
      <c r="V522">
        <f>IF(S522="M",1,0)</f>
        <v>0</v>
      </c>
      <c r="W522">
        <f>IF(S522="F",1,0)</f>
        <v>0</v>
      </c>
    </row>
    <row r="523" spans="1:23" x14ac:dyDescent="0.3">
      <c r="A523" t="s">
        <v>216</v>
      </c>
      <c r="B523">
        <v>1.91</v>
      </c>
      <c r="D523">
        <v>1.858703</v>
      </c>
      <c r="E523">
        <v>2.8299999999999999E-2</v>
      </c>
      <c r="F523">
        <v>1491</v>
      </c>
      <c r="G523" t="str">
        <f>IF(OR(C523="",B523="",B523=0),"",5.51*(C523/(B523^3)))</f>
        <v/>
      </c>
      <c r="H523">
        <v>5550</v>
      </c>
      <c r="I523">
        <v>0.65771770482389136</v>
      </c>
      <c r="L523">
        <f>IF(AND(B523&gt;=0.8,B523&lt;=1.5),1,IF(AND(B523&gt;=0.5,B523&lt;=2),0.5,0))</f>
        <v>0.5</v>
      </c>
      <c r="M523">
        <f>IF(AND(C523&gt;=0.5,C523&lt;=2),1,IF(AND(C523&gt;=0.1,C523&lt;=5),0.5,0))</f>
        <v>0</v>
      </c>
      <c r="N523">
        <f>IF(AND(G523&gt;=4,G523&lt;=7),1,IF(AND(G523&gt;=3,G523&lt;=8),0.5,0))</f>
        <v>0</v>
      </c>
      <c r="O523">
        <f>IF(AND(F523&gt;=270,F523&lt;=310),1,IF(AND(F523&gt;=250,F523&lt;=330),0.5,0))</f>
        <v>0</v>
      </c>
      <c r="P523">
        <f>IF(AND(E523&gt;=0.8,E523&lt;=1.5),1,IF(AND(E523&gt;=0.5,E523&lt;=2),0.5,0))</f>
        <v>0</v>
      </c>
      <c r="Q523">
        <f>IF(AND(H523&gt;=5000,H523&lt;=6000),1,IF(AND(H523&gt;=4000,H523&lt;5000),0.5,0))</f>
        <v>1</v>
      </c>
      <c r="R523">
        <f>0.35*AVERAGE(L523:M523:N523)+0.3*O523+0.2*P523+0.15*Q523</f>
        <v>0.20833333333333331</v>
      </c>
      <c r="S523" t="str">
        <f>LEFT(K523,1)</f>
        <v/>
      </c>
      <c r="T523">
        <f>IF(S523="G",1,0)</f>
        <v>0</v>
      </c>
      <c r="U523">
        <f>IF(S523="K",1,0)</f>
        <v>0</v>
      </c>
      <c r="V523">
        <f>IF(S523="M",1,0)</f>
        <v>0</v>
      </c>
      <c r="W523">
        <f>IF(S523="F",1,0)</f>
        <v>0</v>
      </c>
    </row>
    <row r="524" spans="1:23" x14ac:dyDescent="0.3">
      <c r="A524" t="s">
        <v>215</v>
      </c>
      <c r="B524">
        <v>3.1</v>
      </c>
      <c r="D524">
        <v>9.1925220000000003</v>
      </c>
      <c r="E524">
        <v>8.2299999999999998E-2</v>
      </c>
      <c r="F524">
        <v>875</v>
      </c>
      <c r="G524" t="str">
        <f>IF(OR(C524="",B524="",B524=0),"",5.51*(C524/(B524^3)))</f>
        <v/>
      </c>
      <c r="H524">
        <v>5550</v>
      </c>
      <c r="I524">
        <v>0.65771770482389136</v>
      </c>
      <c r="L524">
        <f>IF(AND(B524&gt;=0.8,B524&lt;=1.5),1,IF(AND(B524&gt;=0.5,B524&lt;=2),0.5,0))</f>
        <v>0</v>
      </c>
      <c r="M524">
        <f>IF(AND(C524&gt;=0.5,C524&lt;=2),1,IF(AND(C524&gt;=0.1,C524&lt;=5),0.5,0))</f>
        <v>0</v>
      </c>
      <c r="N524">
        <f>IF(AND(G524&gt;=4,G524&lt;=7),1,IF(AND(G524&gt;=3,G524&lt;=8),0.5,0))</f>
        <v>0</v>
      </c>
      <c r="O524">
        <f>IF(AND(F524&gt;=270,F524&lt;=310),1,IF(AND(F524&gt;=250,F524&lt;=330),0.5,0))</f>
        <v>0</v>
      </c>
      <c r="P524">
        <f>IF(AND(E524&gt;=0.8,E524&lt;=1.5),1,IF(AND(E524&gt;=0.5,E524&lt;=2),0.5,0))</f>
        <v>0</v>
      </c>
      <c r="Q524">
        <f>IF(AND(H524&gt;=5000,H524&lt;=6000),1,IF(AND(H524&gt;=4000,H524&lt;5000),0.5,0))</f>
        <v>1</v>
      </c>
      <c r="R524">
        <f>0.35*AVERAGE(L524:M524:N524)+0.3*O524+0.2*P524+0.15*Q524</f>
        <v>0.15</v>
      </c>
      <c r="S524" t="str">
        <f>LEFT(K524,1)</f>
        <v/>
      </c>
      <c r="T524">
        <f>IF(S524="G",1,0)</f>
        <v>0</v>
      </c>
      <c r="U524">
        <f>IF(S524="K",1,0)</f>
        <v>0</v>
      </c>
      <c r="V524">
        <f>IF(S524="M",1,0)</f>
        <v>0</v>
      </c>
      <c r="W524">
        <f>IF(S524="F",1,0)</f>
        <v>0</v>
      </c>
    </row>
    <row r="525" spans="1:23" x14ac:dyDescent="0.3">
      <c r="A525" t="s">
        <v>214</v>
      </c>
      <c r="B525">
        <v>4.07</v>
      </c>
      <c r="D525">
        <v>16.364988</v>
      </c>
      <c r="E525">
        <v>0.1208</v>
      </c>
      <c r="F525">
        <v>722</v>
      </c>
      <c r="G525" t="str">
        <f>IF(OR(C525="",B525="",B525=0),"",5.51*(C525/(B525^3)))</f>
        <v/>
      </c>
      <c r="H525">
        <v>5550</v>
      </c>
      <c r="I525">
        <v>0.65771770482389136</v>
      </c>
      <c r="L525">
        <f>IF(AND(B525&gt;=0.8,B525&lt;=1.5),1,IF(AND(B525&gt;=0.5,B525&lt;=2),0.5,0))</f>
        <v>0</v>
      </c>
      <c r="M525">
        <f>IF(AND(C525&gt;=0.5,C525&lt;=2),1,IF(AND(C525&gt;=0.1,C525&lt;=5),0.5,0))</f>
        <v>0</v>
      </c>
      <c r="N525">
        <f>IF(AND(G525&gt;=4,G525&lt;=7),1,IF(AND(G525&gt;=3,G525&lt;=8),0.5,0))</f>
        <v>0</v>
      </c>
      <c r="O525">
        <f>IF(AND(F525&gt;=270,F525&lt;=310),1,IF(AND(F525&gt;=250,F525&lt;=330),0.5,0))</f>
        <v>0</v>
      </c>
      <c r="P525">
        <f>IF(AND(E525&gt;=0.8,E525&lt;=1.5),1,IF(AND(E525&gt;=0.5,E525&lt;=2),0.5,0))</f>
        <v>0</v>
      </c>
      <c r="Q525">
        <f>IF(AND(H525&gt;=5000,H525&lt;=6000),1,IF(AND(H525&gt;=4000,H525&lt;5000),0.5,0))</f>
        <v>1</v>
      </c>
      <c r="R525">
        <f>0.35*AVERAGE(L525:M525:N525)+0.3*O525+0.2*P525+0.15*Q525</f>
        <v>0.15</v>
      </c>
      <c r="S525" t="str">
        <f>LEFT(K525,1)</f>
        <v/>
      </c>
      <c r="T525">
        <f>IF(S525="G",1,0)</f>
        <v>0</v>
      </c>
      <c r="U525">
        <f>IF(S525="K",1,0)</f>
        <v>0</v>
      </c>
      <c r="V525">
        <f>IF(S525="M",1,0)</f>
        <v>0</v>
      </c>
      <c r="W525">
        <f>IF(S525="F",1,0)</f>
        <v>0</v>
      </c>
    </row>
    <row r="526" spans="1:23" x14ac:dyDescent="0.3">
      <c r="A526" t="s">
        <v>213</v>
      </c>
      <c r="B526">
        <v>12.17</v>
      </c>
      <c r="C526">
        <v>637</v>
      </c>
      <c r="D526">
        <v>15.266446</v>
      </c>
      <c r="E526">
        <v>0.11799999999999999</v>
      </c>
      <c r="F526">
        <v>705</v>
      </c>
      <c r="G526">
        <f>IF(OR(C526="",B526="",B526=0),"",5.51*(C526/(B526^3)))</f>
        <v>1.9472391673240776</v>
      </c>
      <c r="H526">
        <v>5433</v>
      </c>
      <c r="I526">
        <v>0.57815671296138327</v>
      </c>
      <c r="J526">
        <v>0.05</v>
      </c>
      <c r="K526" t="s">
        <v>212</v>
      </c>
      <c r="L526">
        <f>IF(AND(B526&gt;=0.8,B526&lt;=1.5),1,IF(AND(B526&gt;=0.5,B526&lt;=2),0.5,0))</f>
        <v>0</v>
      </c>
      <c r="M526">
        <f>IF(AND(C526&gt;=0.5,C526&lt;=2),1,IF(AND(C526&gt;=0.1,C526&lt;=5),0.5,0))</f>
        <v>0</v>
      </c>
      <c r="N526">
        <f>IF(AND(G526&gt;=4,G526&lt;=7),1,IF(AND(G526&gt;=3,G526&lt;=8),0.5,0))</f>
        <v>0</v>
      </c>
      <c r="O526">
        <f>IF(AND(F526&gt;=270,F526&lt;=310),1,IF(AND(F526&gt;=250,F526&lt;=330),0.5,0))</f>
        <v>0</v>
      </c>
      <c r="P526">
        <f>IF(AND(E526&gt;=0.8,E526&lt;=1.5),1,IF(AND(E526&gt;=0.5,E526&lt;=2),0.5,0))</f>
        <v>0</v>
      </c>
      <c r="Q526">
        <f>IF(AND(H526&gt;=5000,H526&lt;=6000),1,IF(AND(H526&gt;=4000,H526&lt;5000),0.5,0))</f>
        <v>1</v>
      </c>
      <c r="R526">
        <f>0.35*AVERAGE(L526:M526:N526)+0.3*O526+0.2*P526+0.15*Q526</f>
        <v>0.15</v>
      </c>
      <c r="S526" t="str">
        <f>LEFT(K526,1)</f>
        <v>G</v>
      </c>
      <c r="T526">
        <f>IF(S526="G",1,0)</f>
        <v>1</v>
      </c>
      <c r="U526">
        <f>IF(S526="K",1,0)</f>
        <v>0</v>
      </c>
      <c r="V526">
        <f>IF(S526="M",1,0)</f>
        <v>0</v>
      </c>
      <c r="W526">
        <f>IF(S526="F",1,0)</f>
        <v>0</v>
      </c>
    </row>
    <row r="527" spans="1:23" x14ac:dyDescent="0.3">
      <c r="A527" t="s">
        <v>211</v>
      </c>
      <c r="B527">
        <v>0.90866170000000002</v>
      </c>
      <c r="D527">
        <v>0.39944449999999998</v>
      </c>
      <c r="E527">
        <v>8.3323530000000007E-3</v>
      </c>
      <c r="F527">
        <v>1362.93</v>
      </c>
      <c r="G527" t="str">
        <f>IF(OR(C527="",B527="",B527=0),"",5.51*(C527/(B527^3)))</f>
        <v/>
      </c>
      <c r="H527">
        <v>3702</v>
      </c>
      <c r="I527">
        <v>3.9793771856572679E-2</v>
      </c>
      <c r="L527">
        <f>IF(AND(B527&gt;=0.8,B527&lt;=1.5),1,IF(AND(B527&gt;=0.5,B527&lt;=2),0.5,0))</f>
        <v>1</v>
      </c>
      <c r="M527">
        <f>IF(AND(C527&gt;=0.5,C527&lt;=2),1,IF(AND(C527&gt;=0.1,C527&lt;=5),0.5,0))</f>
        <v>0</v>
      </c>
      <c r="N527">
        <f>IF(AND(G527&gt;=4,G527&lt;=7),1,IF(AND(G527&gt;=3,G527&lt;=8),0.5,0))</f>
        <v>0</v>
      </c>
      <c r="O527">
        <f>IF(AND(F527&gt;=270,F527&lt;=310),1,IF(AND(F527&gt;=250,F527&lt;=330),0.5,0))</f>
        <v>0</v>
      </c>
      <c r="P527">
        <f>IF(AND(E527&gt;=0.8,E527&lt;=1.5),1,IF(AND(E527&gt;=0.5,E527&lt;=2),0.5,0))</f>
        <v>0</v>
      </c>
      <c r="Q527">
        <f>IF(AND(H527&gt;=5000,H527&lt;=6000),1,IF(AND(H527&gt;=4000,H527&lt;5000),0.5,0))</f>
        <v>0</v>
      </c>
      <c r="R527">
        <f>0.35*AVERAGE(L527:M527:N527)+0.3*O527+0.2*P527+0.15*Q527</f>
        <v>0.11666666666666665</v>
      </c>
      <c r="S527" t="str">
        <f>LEFT(K527,1)</f>
        <v/>
      </c>
      <c r="T527">
        <f>IF(S527="G",1,0)</f>
        <v>0</v>
      </c>
      <c r="U527">
        <f>IF(S527="K",1,0)</f>
        <v>0</v>
      </c>
      <c r="V527">
        <f>IF(S527="M",1,0)</f>
        <v>0</v>
      </c>
      <c r="W527">
        <f>IF(S527="F",1,0)</f>
        <v>0</v>
      </c>
    </row>
    <row r="528" spans="1:23" x14ac:dyDescent="0.3">
      <c r="A528" t="s">
        <v>210</v>
      </c>
      <c r="B528">
        <v>11.859101580000001</v>
      </c>
      <c r="C528">
        <v>473.56432642999999</v>
      </c>
      <c r="D528">
        <v>9.9558099999999996</v>
      </c>
      <c r="E528">
        <v>9.9400000000000002E-2</v>
      </c>
      <c r="G528">
        <f>IF(OR(C528="",B528="",B528=0),"",5.51*(C528/(B528^3)))</f>
        <v>1.5644987166926037</v>
      </c>
      <c r="H528">
        <v>4896</v>
      </c>
      <c r="I528">
        <v>6.4969899149757797</v>
      </c>
      <c r="J528">
        <v>0.23</v>
      </c>
      <c r="L528">
        <f>IF(AND(B528&gt;=0.8,B528&lt;=1.5),1,IF(AND(B528&gt;=0.5,B528&lt;=2),0.5,0))</f>
        <v>0</v>
      </c>
      <c r="M528">
        <f>IF(AND(C528&gt;=0.5,C528&lt;=2),1,IF(AND(C528&gt;=0.1,C528&lt;=5),0.5,0))</f>
        <v>0</v>
      </c>
      <c r="N528">
        <f>IF(AND(G528&gt;=4,G528&lt;=7),1,IF(AND(G528&gt;=3,G528&lt;=8),0.5,0))</f>
        <v>0</v>
      </c>
      <c r="O528">
        <f>IF(AND(F528&gt;=270,F528&lt;=310),1,IF(AND(F528&gt;=250,F528&lt;=330),0.5,0))</f>
        <v>0</v>
      </c>
      <c r="P528">
        <f>IF(AND(E528&gt;=0.8,E528&lt;=1.5),1,IF(AND(E528&gt;=0.5,E528&lt;=2),0.5,0))</f>
        <v>0</v>
      </c>
      <c r="Q528">
        <f>IF(AND(H528&gt;=5000,H528&lt;=6000),1,IF(AND(H528&gt;=4000,H528&lt;5000),0.5,0))</f>
        <v>0.5</v>
      </c>
      <c r="R528">
        <f>0.35*AVERAGE(L528:M528:N528)+0.3*O528+0.2*P528+0.15*Q528</f>
        <v>7.4999999999999997E-2</v>
      </c>
      <c r="S528" t="str">
        <f>LEFT(K528,1)</f>
        <v/>
      </c>
      <c r="T528">
        <f>IF(S528="G",1,0)</f>
        <v>0</v>
      </c>
      <c r="U528">
        <f>IF(S528="K",1,0)</f>
        <v>0</v>
      </c>
      <c r="V528">
        <f>IF(S528="M",1,0)</f>
        <v>0</v>
      </c>
      <c r="W528">
        <f>IF(S528="F",1,0)</f>
        <v>0</v>
      </c>
    </row>
    <row r="529" spans="1:23" x14ac:dyDescent="0.3">
      <c r="A529" t="s">
        <v>209</v>
      </c>
      <c r="B529">
        <v>1.415</v>
      </c>
      <c r="D529">
        <v>3.9659909999999998</v>
      </c>
      <c r="E529">
        <v>3.5900000000000001E-2</v>
      </c>
      <c r="F529">
        <v>554.16</v>
      </c>
      <c r="G529" t="str">
        <f>IF(OR(C529="",B529="",B529=0),"",5.51*(C529/(B529^3)))</f>
        <v/>
      </c>
      <c r="H529">
        <v>3558</v>
      </c>
      <c r="I529">
        <v>2.0112072660713264E-2</v>
      </c>
      <c r="J529">
        <v>-0.09</v>
      </c>
      <c r="L529">
        <f>IF(AND(B529&gt;=0.8,B529&lt;=1.5),1,IF(AND(B529&gt;=0.5,B529&lt;=2),0.5,0))</f>
        <v>1</v>
      </c>
      <c r="M529">
        <f>IF(AND(C529&gt;=0.5,C529&lt;=2),1,IF(AND(C529&gt;=0.1,C529&lt;=5),0.5,0))</f>
        <v>0</v>
      </c>
      <c r="N529">
        <f>IF(AND(G529&gt;=4,G529&lt;=7),1,IF(AND(G529&gt;=3,G529&lt;=8),0.5,0))</f>
        <v>0</v>
      </c>
      <c r="O529">
        <f>IF(AND(F529&gt;=270,F529&lt;=310),1,IF(AND(F529&gt;=250,F529&lt;=330),0.5,0))</f>
        <v>0</v>
      </c>
      <c r="P529">
        <f>IF(AND(E529&gt;=0.8,E529&lt;=1.5),1,IF(AND(E529&gt;=0.5,E529&lt;=2),0.5,0))</f>
        <v>0</v>
      </c>
      <c r="Q529">
        <f>IF(AND(H529&gt;=5000,H529&lt;=6000),1,IF(AND(H529&gt;=4000,H529&lt;5000),0.5,0))</f>
        <v>0</v>
      </c>
      <c r="R529">
        <f>0.35*AVERAGE(L529:M529:N529)+0.3*O529+0.2*P529+0.15*Q529</f>
        <v>0.11666666666666665</v>
      </c>
      <c r="S529" t="str">
        <f>LEFT(K529,1)</f>
        <v/>
      </c>
      <c r="T529">
        <f>IF(S529="G",1,0)</f>
        <v>0</v>
      </c>
      <c r="U529">
        <f>IF(S529="K",1,0)</f>
        <v>0</v>
      </c>
      <c r="V529">
        <f>IF(S529="M",1,0)</f>
        <v>0</v>
      </c>
      <c r="W529">
        <f>IF(S529="F",1,0)</f>
        <v>0</v>
      </c>
    </row>
    <row r="530" spans="1:23" x14ac:dyDescent="0.3">
      <c r="A530" t="s">
        <v>208</v>
      </c>
      <c r="B530">
        <v>10.53644186</v>
      </c>
      <c r="C530">
        <v>168.44905571000001</v>
      </c>
      <c r="D530">
        <v>31.033999999999999</v>
      </c>
      <c r="G530">
        <f>IF(OR(C530="",B530="",B530=0),"",5.51*(C530/(B530^3)))</f>
        <v>0.7934841469990972</v>
      </c>
      <c r="H530">
        <v>5190</v>
      </c>
      <c r="I530">
        <v>4.0685466380066275</v>
      </c>
      <c r="J530">
        <v>0.17</v>
      </c>
      <c r="L530">
        <f>IF(AND(B530&gt;=0.8,B530&lt;=1.5),1,IF(AND(B530&gt;=0.5,B530&lt;=2),0.5,0))</f>
        <v>0</v>
      </c>
      <c r="M530">
        <f>IF(AND(C530&gt;=0.5,C530&lt;=2),1,IF(AND(C530&gt;=0.1,C530&lt;=5),0.5,0))</f>
        <v>0</v>
      </c>
      <c r="N530">
        <f>IF(AND(G530&gt;=4,G530&lt;=7),1,IF(AND(G530&gt;=3,G530&lt;=8),0.5,0))</f>
        <v>0</v>
      </c>
      <c r="O530">
        <f>IF(AND(F530&gt;=270,F530&lt;=310),1,IF(AND(F530&gt;=250,F530&lt;=330),0.5,0))</f>
        <v>0</v>
      </c>
      <c r="P530">
        <f>IF(AND(E530&gt;=0.8,E530&lt;=1.5),1,IF(AND(E530&gt;=0.5,E530&lt;=2),0.5,0))</f>
        <v>0</v>
      </c>
      <c r="Q530">
        <f>IF(AND(H530&gt;=5000,H530&lt;=6000),1,IF(AND(H530&gt;=4000,H530&lt;5000),0.5,0))</f>
        <v>1</v>
      </c>
      <c r="R530">
        <f>0.35*AVERAGE(L530:M530:N530)+0.3*O530+0.2*P530+0.15*Q530</f>
        <v>0.15</v>
      </c>
      <c r="S530" t="str">
        <f>LEFT(K530,1)</f>
        <v/>
      </c>
      <c r="T530">
        <f>IF(S530="G",1,0)</f>
        <v>0</v>
      </c>
      <c r="U530">
        <f>IF(S530="K",1,0)</f>
        <v>0</v>
      </c>
      <c r="V530">
        <f>IF(S530="M",1,0)</f>
        <v>0</v>
      </c>
      <c r="W530">
        <f>IF(S530="F",1,0)</f>
        <v>0</v>
      </c>
    </row>
    <row r="531" spans="1:23" x14ac:dyDescent="0.3">
      <c r="A531" t="s">
        <v>207</v>
      </c>
      <c r="B531">
        <v>6.8</v>
      </c>
      <c r="C531">
        <v>959.84178913999995</v>
      </c>
      <c r="D531">
        <v>82.686899999999994</v>
      </c>
      <c r="E531">
        <v>0.34899999999999998</v>
      </c>
      <c r="F531">
        <v>347</v>
      </c>
      <c r="G531">
        <f>IF(OR(C531="",B531="",B531=0),"",5.51*(C531/(B531^3)))</f>
        <v>16.819942811677564</v>
      </c>
      <c r="H531">
        <v>5170</v>
      </c>
      <c r="I531">
        <v>0.42055428283890045</v>
      </c>
      <c r="J531">
        <v>0.16</v>
      </c>
      <c r="K531" t="s">
        <v>7</v>
      </c>
      <c r="L531">
        <f>IF(AND(B531&gt;=0.8,B531&lt;=1.5),1,IF(AND(B531&gt;=0.5,B531&lt;=2),0.5,0))</f>
        <v>0</v>
      </c>
      <c r="M531">
        <f>IF(AND(C531&gt;=0.5,C531&lt;=2),1,IF(AND(C531&gt;=0.1,C531&lt;=5),0.5,0))</f>
        <v>0</v>
      </c>
      <c r="N531">
        <f>IF(AND(G531&gt;=4,G531&lt;=7),1,IF(AND(G531&gt;=3,G531&lt;=8),0.5,0))</f>
        <v>0</v>
      </c>
      <c r="O531">
        <f>IF(AND(F531&gt;=270,F531&lt;=310),1,IF(AND(F531&gt;=250,F531&lt;=330),0.5,0))</f>
        <v>0</v>
      </c>
      <c r="P531">
        <f>IF(AND(E531&gt;=0.8,E531&lt;=1.5),1,IF(AND(E531&gt;=0.5,E531&lt;=2),0.5,0))</f>
        <v>0</v>
      </c>
      <c r="Q531">
        <f>IF(AND(H531&gt;=5000,H531&lt;=6000),1,IF(AND(H531&gt;=4000,H531&lt;5000),0.5,0))</f>
        <v>1</v>
      </c>
      <c r="R531">
        <f>0.35*AVERAGE(L531:M531:N531)+0.3*O531+0.2*P531+0.15*Q531</f>
        <v>0.15</v>
      </c>
      <c r="S531" t="str">
        <f>LEFT(K531,1)</f>
        <v>K</v>
      </c>
      <c r="T531">
        <f>IF(S531="G",1,0)</f>
        <v>0</v>
      </c>
      <c r="U531">
        <f>IF(S531="K",1,0)</f>
        <v>1</v>
      </c>
      <c r="V531">
        <f>IF(S531="M",1,0)</f>
        <v>0</v>
      </c>
      <c r="W531">
        <f>IF(S531="F",1,0)</f>
        <v>0</v>
      </c>
    </row>
    <row r="532" spans="1:23" x14ac:dyDescent="0.3">
      <c r="A532" t="s">
        <v>206</v>
      </c>
      <c r="B532">
        <v>9.42</v>
      </c>
      <c r="C532">
        <v>2946.26933289</v>
      </c>
      <c r="D532">
        <v>482.81909999999999</v>
      </c>
      <c r="E532">
        <v>1.1519999999999999</v>
      </c>
      <c r="F532">
        <v>191</v>
      </c>
      <c r="G532">
        <f>IF(OR(C532="",B532="",B532=0),"",5.51*(C532/(B532^3)))</f>
        <v>19.420988709583398</v>
      </c>
      <c r="H532">
        <v>5170</v>
      </c>
      <c r="I532">
        <v>0.42055428283890045</v>
      </c>
      <c r="J532">
        <v>0.16</v>
      </c>
      <c r="K532" t="s">
        <v>7</v>
      </c>
      <c r="L532">
        <f>IF(AND(B532&gt;=0.8,B532&lt;=1.5),1,IF(AND(B532&gt;=0.5,B532&lt;=2),0.5,0))</f>
        <v>0</v>
      </c>
      <c r="M532">
        <f>IF(AND(C532&gt;=0.5,C532&lt;=2),1,IF(AND(C532&gt;=0.1,C532&lt;=5),0.5,0))</f>
        <v>0</v>
      </c>
      <c r="N532">
        <f>IF(AND(G532&gt;=4,G532&lt;=7),1,IF(AND(G532&gt;=3,G532&lt;=8),0.5,0))</f>
        <v>0</v>
      </c>
      <c r="O532">
        <f>IF(AND(F532&gt;=270,F532&lt;=310),1,IF(AND(F532&gt;=250,F532&lt;=330),0.5,0))</f>
        <v>0</v>
      </c>
      <c r="P532">
        <f>IF(AND(E532&gt;=0.8,E532&lt;=1.5),1,IF(AND(E532&gt;=0.5,E532&lt;=2),0.5,0))</f>
        <v>1</v>
      </c>
      <c r="Q532">
        <f>IF(AND(H532&gt;=5000,H532&lt;=6000),1,IF(AND(H532&gt;=4000,H532&lt;5000),0.5,0))</f>
        <v>1</v>
      </c>
      <c r="R532">
        <f>0.35*AVERAGE(L532:M532:N532)+0.3*O532+0.2*P532+0.15*Q532</f>
        <v>0.35</v>
      </c>
      <c r="S532" t="str">
        <f>LEFT(K532,1)</f>
        <v>K</v>
      </c>
      <c r="T532">
        <f>IF(S532="G",1,0)</f>
        <v>0</v>
      </c>
      <c r="U532">
        <f>IF(S532="K",1,0)</f>
        <v>1</v>
      </c>
      <c r="V532">
        <f>IF(S532="M",1,0)</f>
        <v>0</v>
      </c>
      <c r="W532">
        <f>IF(S532="F",1,0)</f>
        <v>0</v>
      </c>
    </row>
    <row r="533" spans="1:23" x14ac:dyDescent="0.3">
      <c r="A533" t="s">
        <v>205</v>
      </c>
      <c r="B533">
        <v>2.550449</v>
      </c>
      <c r="D533">
        <v>3.9812091000000001</v>
      </c>
      <c r="E533">
        <v>5.099712E-2</v>
      </c>
      <c r="F533">
        <v>1380.27</v>
      </c>
      <c r="G533" t="str">
        <f>IF(OR(C533="",B533="",B533=0),"",5.51*(C533/(B533^3)))</f>
        <v/>
      </c>
      <c r="H533">
        <v>6011.9</v>
      </c>
      <c r="I533">
        <v>1.5679537820707663</v>
      </c>
      <c r="L533">
        <f>IF(AND(B533&gt;=0.8,B533&lt;=1.5),1,IF(AND(B533&gt;=0.5,B533&lt;=2),0.5,0))</f>
        <v>0</v>
      </c>
      <c r="M533">
        <f>IF(AND(C533&gt;=0.5,C533&lt;=2),1,IF(AND(C533&gt;=0.1,C533&lt;=5),0.5,0))</f>
        <v>0</v>
      </c>
      <c r="N533">
        <f>IF(AND(G533&gt;=4,G533&lt;=7),1,IF(AND(G533&gt;=3,G533&lt;=8),0.5,0))</f>
        <v>0</v>
      </c>
      <c r="O533">
        <f>IF(AND(F533&gt;=270,F533&lt;=310),1,IF(AND(F533&gt;=250,F533&lt;=330),0.5,0))</f>
        <v>0</v>
      </c>
      <c r="P533">
        <f>IF(AND(E533&gt;=0.8,E533&lt;=1.5),1,IF(AND(E533&gt;=0.5,E533&lt;=2),0.5,0))</f>
        <v>0</v>
      </c>
      <c r="Q533">
        <f>IF(AND(H533&gt;=5000,H533&lt;=6000),1,IF(AND(H533&gt;=4000,H533&lt;5000),0.5,0))</f>
        <v>0</v>
      </c>
      <c r="R533">
        <f>0.35*AVERAGE(L533:M533:N533)+0.3*O533+0.2*P533+0.15*Q533</f>
        <v>0</v>
      </c>
      <c r="S533" t="str">
        <f>LEFT(K533,1)</f>
        <v/>
      </c>
      <c r="T533">
        <f>IF(S533="G",1,0)</f>
        <v>0</v>
      </c>
      <c r="U533">
        <f>IF(S533="K",1,0)</f>
        <v>0</v>
      </c>
      <c r="V533">
        <f>IF(S533="M",1,0)</f>
        <v>0</v>
      </c>
      <c r="W533">
        <f>IF(S533="F",1,0)</f>
        <v>0</v>
      </c>
    </row>
    <row r="534" spans="1:23" x14ac:dyDescent="0.3">
      <c r="A534" t="s">
        <v>204</v>
      </c>
      <c r="B534">
        <v>11.679757889999999</v>
      </c>
      <c r="C534">
        <v>4096.8081662300001</v>
      </c>
      <c r="D534">
        <v>7.2459899999999999</v>
      </c>
      <c r="E534">
        <v>8.8800000000000004E-2</v>
      </c>
      <c r="F534">
        <v>1677</v>
      </c>
      <c r="G534">
        <f>IF(OR(C534="",B534="",B534=0),"",5.51*(C534/(B534^3)))</f>
        <v>14.167581063842837</v>
      </c>
      <c r="H534">
        <v>6264</v>
      </c>
      <c r="I534">
        <v>10.355325001567435</v>
      </c>
      <c r="J534">
        <v>0.34200000000000003</v>
      </c>
      <c r="K534" t="s">
        <v>18</v>
      </c>
      <c r="L534">
        <f>IF(AND(B534&gt;=0.8,B534&lt;=1.5),1,IF(AND(B534&gt;=0.5,B534&lt;=2),0.5,0))</f>
        <v>0</v>
      </c>
      <c r="M534">
        <f>IF(AND(C534&gt;=0.5,C534&lt;=2),1,IF(AND(C534&gt;=0.1,C534&lt;=5),0.5,0))</f>
        <v>0</v>
      </c>
      <c r="N534">
        <f>IF(AND(G534&gt;=4,G534&lt;=7),1,IF(AND(G534&gt;=3,G534&lt;=8),0.5,0))</f>
        <v>0</v>
      </c>
      <c r="O534">
        <f>IF(AND(F534&gt;=270,F534&lt;=310),1,IF(AND(F534&gt;=250,F534&lt;=330),0.5,0))</f>
        <v>0</v>
      </c>
      <c r="P534">
        <f>IF(AND(E534&gt;=0.8,E534&lt;=1.5),1,IF(AND(E534&gt;=0.5,E534&lt;=2),0.5,0))</f>
        <v>0</v>
      </c>
      <c r="Q534">
        <f>IF(AND(H534&gt;=5000,H534&lt;=6000),1,IF(AND(H534&gt;=4000,H534&lt;5000),0.5,0))</f>
        <v>0</v>
      </c>
      <c r="R534">
        <f>0.35*AVERAGE(L534:M534:N534)+0.3*O534+0.2*P534+0.15*Q534</f>
        <v>0</v>
      </c>
      <c r="S534" t="str">
        <f>LEFT(K534,1)</f>
        <v>F</v>
      </c>
      <c r="T534">
        <f>IF(S534="G",1,0)</f>
        <v>0</v>
      </c>
      <c r="U534">
        <f>IF(S534="K",1,0)</f>
        <v>0</v>
      </c>
      <c r="V534">
        <f>IF(S534="M",1,0)</f>
        <v>0</v>
      </c>
      <c r="W534">
        <f>IF(S534="F",1,0)</f>
        <v>1</v>
      </c>
    </row>
    <row r="535" spans="1:23" x14ac:dyDescent="0.3">
      <c r="A535" t="s">
        <v>203</v>
      </c>
      <c r="B535">
        <v>3.2</v>
      </c>
      <c r="C535">
        <v>123</v>
      </c>
      <c r="D535">
        <v>271.94450000000001</v>
      </c>
      <c r="E535">
        <v>0.84699999999999998</v>
      </c>
      <c r="G535">
        <f>IF(OR(C535="",B535="",B535=0),"",5.51*(C535/(B535^3)))</f>
        <v>20.682678222656243</v>
      </c>
      <c r="H535">
        <v>5800</v>
      </c>
      <c r="I535">
        <v>1.1193874212576462</v>
      </c>
      <c r="K535" t="s">
        <v>12</v>
      </c>
      <c r="L535">
        <f>IF(AND(B535&gt;=0.8,B535&lt;=1.5),1,IF(AND(B535&gt;=0.5,B535&lt;=2),0.5,0))</f>
        <v>0</v>
      </c>
      <c r="M535">
        <f>IF(AND(C535&gt;=0.5,C535&lt;=2),1,IF(AND(C535&gt;=0.1,C535&lt;=5),0.5,0))</f>
        <v>0</v>
      </c>
      <c r="N535">
        <f>IF(AND(G535&gt;=4,G535&lt;=7),1,IF(AND(G535&gt;=3,G535&lt;=8),0.5,0))</f>
        <v>0</v>
      </c>
      <c r="O535">
        <f>IF(AND(F535&gt;=270,F535&lt;=310),1,IF(AND(F535&gt;=250,F535&lt;=330),0.5,0))</f>
        <v>0</v>
      </c>
      <c r="P535">
        <f>IF(AND(E535&gt;=0.8,E535&lt;=1.5),1,IF(AND(E535&gt;=0.5,E535&lt;=2),0.5,0))</f>
        <v>1</v>
      </c>
      <c r="Q535">
        <f>IF(AND(H535&gt;=5000,H535&lt;=6000),1,IF(AND(H535&gt;=4000,H535&lt;5000),0.5,0))</f>
        <v>1</v>
      </c>
      <c r="R535">
        <f>0.35*AVERAGE(L535:M535:N535)+0.3*O535+0.2*P535+0.15*Q535</f>
        <v>0.35</v>
      </c>
      <c r="S535" t="str">
        <f>LEFT(K535,1)</f>
        <v>G</v>
      </c>
      <c r="T535">
        <f>IF(S535="G",1,0)</f>
        <v>1</v>
      </c>
      <c r="U535">
        <f>IF(S535="K",1,0)</f>
        <v>0</v>
      </c>
      <c r="V535">
        <f>IF(S535="M",1,0)</f>
        <v>0</v>
      </c>
      <c r="W535">
        <f>IF(S535="F",1,0)</f>
        <v>0</v>
      </c>
    </row>
    <row r="536" spans="1:23" x14ac:dyDescent="0.3">
      <c r="A536" t="s">
        <v>202</v>
      </c>
      <c r="B536">
        <v>2.9329999999999998</v>
      </c>
      <c r="D536">
        <v>10.283918786999999</v>
      </c>
      <c r="E536">
        <v>9.3012999999999998E-2</v>
      </c>
      <c r="G536" t="str">
        <f>IF(OR(C536="",B536="",B536=0),"",5.51*(C536/(B536^3)))</f>
        <v/>
      </c>
      <c r="H536">
        <v>5700</v>
      </c>
      <c r="I536">
        <v>0.75863931129018924</v>
      </c>
      <c r="L536">
        <f>IF(AND(B536&gt;=0.8,B536&lt;=1.5),1,IF(AND(B536&gt;=0.5,B536&lt;=2),0.5,0))</f>
        <v>0</v>
      </c>
      <c r="M536">
        <f>IF(AND(C536&gt;=0.5,C536&lt;=2),1,IF(AND(C536&gt;=0.1,C536&lt;=5),0.5,0))</f>
        <v>0</v>
      </c>
      <c r="N536">
        <f>IF(AND(G536&gt;=4,G536&lt;=7),1,IF(AND(G536&gt;=3,G536&lt;=8),0.5,0))</f>
        <v>0</v>
      </c>
      <c r="O536">
        <f>IF(AND(F536&gt;=270,F536&lt;=310),1,IF(AND(F536&gt;=250,F536&lt;=330),0.5,0))</f>
        <v>0</v>
      </c>
      <c r="P536">
        <f>IF(AND(E536&gt;=0.8,E536&lt;=1.5),1,IF(AND(E536&gt;=0.5,E536&lt;=2),0.5,0))</f>
        <v>0</v>
      </c>
      <c r="Q536">
        <f>IF(AND(H536&gt;=5000,H536&lt;=6000),1,IF(AND(H536&gt;=4000,H536&lt;5000),0.5,0))</f>
        <v>1</v>
      </c>
      <c r="R536">
        <f>0.35*AVERAGE(L536:M536:N536)+0.3*O536+0.2*P536+0.15*Q536</f>
        <v>0.15</v>
      </c>
      <c r="S536" t="str">
        <f>LEFT(K536,1)</f>
        <v/>
      </c>
      <c r="T536">
        <f>IF(S536="G",1,0)</f>
        <v>0</v>
      </c>
      <c r="U536">
        <f>IF(S536="K",1,0)</f>
        <v>0</v>
      </c>
      <c r="V536">
        <f>IF(S536="M",1,0)</f>
        <v>0</v>
      </c>
      <c r="W536">
        <f>IF(S536="F",1,0)</f>
        <v>0</v>
      </c>
    </row>
    <row r="537" spans="1:23" x14ac:dyDescent="0.3">
      <c r="A537" t="s">
        <v>201</v>
      </c>
      <c r="B537">
        <v>8.1825559099999996</v>
      </c>
      <c r="C537">
        <v>1229.9959350900001</v>
      </c>
      <c r="D537">
        <v>22.093409999999999</v>
      </c>
      <c r="E537">
        <v>0.17299999999999999</v>
      </c>
      <c r="G537">
        <f>IF(OR(C537="",B537="",B537=0),"",5.51*(C537/(B537^3)))</f>
        <v>12.370530679210642</v>
      </c>
      <c r="H537">
        <v>6560</v>
      </c>
      <c r="I537">
        <v>4.9154366271954792</v>
      </c>
      <c r="J537">
        <v>-0.09</v>
      </c>
      <c r="L537">
        <f>IF(AND(B537&gt;=0.8,B537&lt;=1.5),1,IF(AND(B537&gt;=0.5,B537&lt;=2),0.5,0))</f>
        <v>0</v>
      </c>
      <c r="M537">
        <f>IF(AND(C537&gt;=0.5,C537&lt;=2),1,IF(AND(C537&gt;=0.1,C537&lt;=5),0.5,0))</f>
        <v>0</v>
      </c>
      <c r="N537">
        <f>IF(AND(G537&gt;=4,G537&lt;=7),1,IF(AND(G537&gt;=3,G537&lt;=8),0.5,0))</f>
        <v>0</v>
      </c>
      <c r="O537">
        <f>IF(AND(F537&gt;=270,F537&lt;=310),1,IF(AND(F537&gt;=250,F537&lt;=330),0.5,0))</f>
        <v>0</v>
      </c>
      <c r="P537">
        <f>IF(AND(E537&gt;=0.8,E537&lt;=1.5),1,IF(AND(E537&gt;=0.5,E537&lt;=2),0.5,0))</f>
        <v>0</v>
      </c>
      <c r="Q537">
        <f>IF(AND(H537&gt;=5000,H537&lt;=6000),1,IF(AND(H537&gt;=4000,H537&lt;5000),0.5,0))</f>
        <v>0</v>
      </c>
      <c r="R537">
        <f>0.35*AVERAGE(L537:M537:N537)+0.3*O537+0.2*P537+0.15*Q537</f>
        <v>0</v>
      </c>
      <c r="S537" t="str">
        <f>LEFT(K537,1)</f>
        <v/>
      </c>
      <c r="T537">
        <f>IF(S537="G",1,0)</f>
        <v>0</v>
      </c>
      <c r="U537">
        <f>IF(S537="K",1,0)</f>
        <v>0</v>
      </c>
      <c r="V537">
        <f>IF(S537="M",1,0)</f>
        <v>0</v>
      </c>
      <c r="W537">
        <f>IF(S537="F",1,0)</f>
        <v>0</v>
      </c>
    </row>
    <row r="538" spans="1:23" x14ac:dyDescent="0.3">
      <c r="A538" t="s">
        <v>200</v>
      </c>
      <c r="B538">
        <v>4.34</v>
      </c>
      <c r="D538">
        <v>12.19148</v>
      </c>
      <c r="E538">
        <v>0.11899999999999999</v>
      </c>
      <c r="F538">
        <v>660</v>
      </c>
      <c r="G538" t="str">
        <f>IF(OR(C538="",B538="",B538=0),"",5.51*(C538/(B538^3)))</f>
        <v/>
      </c>
      <c r="H538">
        <v>5190</v>
      </c>
      <c r="I538">
        <v>0.44953274158215911</v>
      </c>
      <c r="J538">
        <v>0.1</v>
      </c>
      <c r="K538" t="s">
        <v>38</v>
      </c>
      <c r="L538">
        <f>IF(AND(B538&gt;=0.8,B538&lt;=1.5),1,IF(AND(B538&gt;=0.5,B538&lt;=2),0.5,0))</f>
        <v>0</v>
      </c>
      <c r="M538">
        <f>IF(AND(C538&gt;=0.5,C538&lt;=2),1,IF(AND(C538&gt;=0.1,C538&lt;=5),0.5,0))</f>
        <v>0</v>
      </c>
      <c r="N538">
        <f>IF(AND(G538&gt;=4,G538&lt;=7),1,IF(AND(G538&gt;=3,G538&lt;=8),0.5,0))</f>
        <v>0</v>
      </c>
      <c r="O538">
        <f>IF(AND(F538&gt;=270,F538&lt;=310),1,IF(AND(F538&gt;=250,F538&lt;=330),0.5,0))</f>
        <v>0</v>
      </c>
      <c r="P538">
        <f>IF(AND(E538&gt;=0.8,E538&lt;=1.5),1,IF(AND(E538&gt;=0.5,E538&lt;=2),0.5,0))</f>
        <v>0</v>
      </c>
      <c r="Q538">
        <f>IF(AND(H538&gt;=5000,H538&lt;=6000),1,IF(AND(H538&gt;=4000,H538&lt;5000),0.5,0))</f>
        <v>1</v>
      </c>
      <c r="R538">
        <f>0.35*AVERAGE(L538:M538:N538)+0.3*O538+0.2*P538+0.15*Q538</f>
        <v>0.15</v>
      </c>
      <c r="S538" t="str">
        <f>LEFT(K538,1)</f>
        <v>G</v>
      </c>
      <c r="T538">
        <f>IF(S538="G",1,0)</f>
        <v>1</v>
      </c>
      <c r="U538">
        <f>IF(S538="K",1,0)</f>
        <v>0</v>
      </c>
      <c r="V538">
        <f>IF(S538="M",1,0)</f>
        <v>0</v>
      </c>
      <c r="W538">
        <f>IF(S538="F",1,0)</f>
        <v>0</v>
      </c>
    </row>
    <row r="539" spans="1:23" x14ac:dyDescent="0.3">
      <c r="A539" t="s">
        <v>199</v>
      </c>
      <c r="B539">
        <v>10.9175472</v>
      </c>
      <c r="C539">
        <v>61.658710960000001</v>
      </c>
      <c r="D539">
        <v>6.235633</v>
      </c>
      <c r="E539">
        <v>7.3999999999999996E-2</v>
      </c>
      <c r="F539">
        <v>1468</v>
      </c>
      <c r="G539">
        <f>IF(OR(C539="",B539="",B539=0),"",5.51*(C539/(B539^3)))</f>
        <v>0.26107831758005784</v>
      </c>
      <c r="H539">
        <v>6070</v>
      </c>
      <c r="I539">
        <v>4.20018502063252</v>
      </c>
      <c r="J539">
        <v>0.28799999999999998</v>
      </c>
      <c r="L539">
        <f>IF(AND(B539&gt;=0.8,B539&lt;=1.5),1,IF(AND(B539&gt;=0.5,B539&lt;=2),0.5,0))</f>
        <v>0</v>
      </c>
      <c r="M539">
        <f>IF(AND(C539&gt;=0.5,C539&lt;=2),1,IF(AND(C539&gt;=0.1,C539&lt;=5),0.5,0))</f>
        <v>0</v>
      </c>
      <c r="N539">
        <f>IF(AND(G539&gt;=4,G539&lt;=7),1,IF(AND(G539&gt;=3,G539&lt;=8),0.5,0))</f>
        <v>0</v>
      </c>
      <c r="O539">
        <f>IF(AND(F539&gt;=270,F539&lt;=310),1,IF(AND(F539&gt;=250,F539&lt;=330),0.5,0))</f>
        <v>0</v>
      </c>
      <c r="P539">
        <f>IF(AND(E539&gt;=0.8,E539&lt;=1.5),1,IF(AND(E539&gt;=0.5,E539&lt;=2),0.5,0))</f>
        <v>0</v>
      </c>
      <c r="Q539">
        <f>IF(AND(H539&gt;=5000,H539&lt;=6000),1,IF(AND(H539&gt;=4000,H539&lt;5000),0.5,0))</f>
        <v>0</v>
      </c>
      <c r="R539">
        <f>0.35*AVERAGE(L539:M539:N539)+0.3*O539+0.2*P539+0.15*Q539</f>
        <v>0</v>
      </c>
      <c r="S539" t="str">
        <f>LEFT(K539,1)</f>
        <v/>
      </c>
      <c r="T539">
        <f>IF(S539="G",1,0)</f>
        <v>0</v>
      </c>
      <c r="U539">
        <f>IF(S539="K",1,0)</f>
        <v>0</v>
      </c>
      <c r="V539">
        <f>IF(S539="M",1,0)</f>
        <v>0</v>
      </c>
      <c r="W539">
        <f>IF(S539="F",1,0)</f>
        <v>0</v>
      </c>
    </row>
    <row r="540" spans="1:23" x14ac:dyDescent="0.3">
      <c r="A540" t="s">
        <v>198</v>
      </c>
      <c r="B540">
        <v>15.22179579</v>
      </c>
      <c r="C540">
        <v>1687.66884117</v>
      </c>
      <c r="D540">
        <v>1.7452851</v>
      </c>
      <c r="E540">
        <v>3.2160000000000001E-2</v>
      </c>
      <c r="F540">
        <v>2255</v>
      </c>
      <c r="G540">
        <f>IF(OR(C540="",B540="",B540=0),"",5.51*(C540/(B540^3)))</f>
        <v>2.6365812371766522</v>
      </c>
      <c r="H540">
        <v>6740</v>
      </c>
      <c r="I540">
        <v>4.4482873342219076</v>
      </c>
      <c r="J540">
        <v>0.11</v>
      </c>
      <c r="L540">
        <f>IF(AND(B540&gt;=0.8,B540&lt;=1.5),1,IF(AND(B540&gt;=0.5,B540&lt;=2),0.5,0))</f>
        <v>0</v>
      </c>
      <c r="M540">
        <f>IF(AND(C540&gt;=0.5,C540&lt;=2),1,IF(AND(C540&gt;=0.1,C540&lt;=5),0.5,0))</f>
        <v>0</v>
      </c>
      <c r="N540">
        <f>IF(AND(G540&gt;=4,G540&lt;=7),1,IF(AND(G540&gt;=3,G540&lt;=8),0.5,0))</f>
        <v>0</v>
      </c>
      <c r="O540">
        <f>IF(AND(F540&gt;=270,F540&lt;=310),1,IF(AND(F540&gt;=250,F540&lt;=330),0.5,0))</f>
        <v>0</v>
      </c>
      <c r="P540">
        <f>IF(AND(E540&gt;=0.8,E540&lt;=1.5),1,IF(AND(E540&gt;=0.5,E540&lt;=2),0.5,0))</f>
        <v>0</v>
      </c>
      <c r="Q540">
        <f>IF(AND(H540&gt;=5000,H540&lt;=6000),1,IF(AND(H540&gt;=4000,H540&lt;5000),0.5,0))</f>
        <v>0</v>
      </c>
      <c r="R540">
        <f>0.35*AVERAGE(L540:M540:N540)+0.3*O540+0.2*P540+0.15*Q540</f>
        <v>0</v>
      </c>
      <c r="S540" t="str">
        <f>LEFT(K540,1)</f>
        <v/>
      </c>
      <c r="T540">
        <f>IF(S540="G",1,0)</f>
        <v>0</v>
      </c>
      <c r="U540">
        <f>IF(S540="K",1,0)</f>
        <v>0</v>
      </c>
      <c r="V540">
        <f>IF(S540="M",1,0)</f>
        <v>0</v>
      </c>
      <c r="W540">
        <f>IF(S540="F",1,0)</f>
        <v>0</v>
      </c>
    </row>
    <row r="541" spans="1:23" x14ac:dyDescent="0.3">
      <c r="A541" t="s">
        <v>197</v>
      </c>
      <c r="B541">
        <v>12.441968579999999</v>
      </c>
      <c r="C541">
        <v>734.18362017000004</v>
      </c>
      <c r="D541">
        <v>4.2808799999999998</v>
      </c>
      <c r="E541">
        <v>5.5500000000000001E-2</v>
      </c>
      <c r="F541">
        <v>1472</v>
      </c>
      <c r="G541">
        <f>IF(OR(C541="",B541="",B541=0),"",5.51*(C541/(B541^3)))</f>
        <v>2.1003370290928878</v>
      </c>
      <c r="H541">
        <v>6058</v>
      </c>
      <c r="I541">
        <v>2.3989926212140174</v>
      </c>
      <c r="J541">
        <v>0.20699999999999999</v>
      </c>
      <c r="L541">
        <f>IF(AND(B541&gt;=0.8,B541&lt;=1.5),1,IF(AND(B541&gt;=0.5,B541&lt;=2),0.5,0))</f>
        <v>0</v>
      </c>
      <c r="M541">
        <f>IF(AND(C541&gt;=0.5,C541&lt;=2),1,IF(AND(C541&gt;=0.1,C541&lt;=5),0.5,0))</f>
        <v>0</v>
      </c>
      <c r="N541">
        <f>IF(AND(G541&gt;=4,G541&lt;=7),1,IF(AND(G541&gt;=3,G541&lt;=8),0.5,0))</f>
        <v>0</v>
      </c>
      <c r="O541">
        <f>IF(AND(F541&gt;=270,F541&lt;=310),1,IF(AND(F541&gt;=250,F541&lt;=330),0.5,0))</f>
        <v>0</v>
      </c>
      <c r="P541">
        <f>IF(AND(E541&gt;=0.8,E541&lt;=1.5),1,IF(AND(E541&gt;=0.5,E541&lt;=2),0.5,0))</f>
        <v>0</v>
      </c>
      <c r="Q541">
        <f>IF(AND(H541&gt;=5000,H541&lt;=6000),1,IF(AND(H541&gt;=4000,H541&lt;5000),0.5,0))</f>
        <v>0</v>
      </c>
      <c r="R541">
        <f>0.35*AVERAGE(L541:M541:N541)+0.3*O541+0.2*P541+0.15*Q541</f>
        <v>0</v>
      </c>
      <c r="S541" t="str">
        <f>LEFT(K541,1)</f>
        <v/>
      </c>
      <c r="T541">
        <f>IF(S541="G",1,0)</f>
        <v>0</v>
      </c>
      <c r="U541">
        <f>IF(S541="K",1,0)</f>
        <v>0</v>
      </c>
      <c r="V541">
        <f>IF(S541="M",1,0)</f>
        <v>0</v>
      </c>
      <c r="W541">
        <f>IF(S541="F",1,0)</f>
        <v>0</v>
      </c>
    </row>
    <row r="542" spans="1:23" x14ac:dyDescent="0.3">
      <c r="A542" t="s">
        <v>196</v>
      </c>
      <c r="B542">
        <v>14.35870428</v>
      </c>
      <c r="C542">
        <v>308.29355478999997</v>
      </c>
      <c r="D542">
        <v>3.5658116</v>
      </c>
      <c r="E542">
        <v>4.9200000000000001E-2</v>
      </c>
      <c r="F542">
        <v>1673</v>
      </c>
      <c r="G542">
        <f>IF(OR(C542="",B542="",B542=0),"",5.51*(C542/(B542^3)))</f>
        <v>0.5738128776944631</v>
      </c>
      <c r="H542">
        <v>6390</v>
      </c>
      <c r="I542">
        <v>3.1494020618546839</v>
      </c>
      <c r="J542">
        <v>-0.10199999999999999</v>
      </c>
      <c r="L542">
        <f>IF(AND(B542&gt;=0.8,B542&lt;=1.5),1,IF(AND(B542&gt;=0.5,B542&lt;=2),0.5,0))</f>
        <v>0</v>
      </c>
      <c r="M542">
        <f>IF(AND(C542&gt;=0.5,C542&lt;=2),1,IF(AND(C542&gt;=0.1,C542&lt;=5),0.5,0))</f>
        <v>0</v>
      </c>
      <c r="N542">
        <f>IF(AND(G542&gt;=4,G542&lt;=7),1,IF(AND(G542&gt;=3,G542&lt;=8),0.5,0))</f>
        <v>0</v>
      </c>
      <c r="O542">
        <f>IF(AND(F542&gt;=270,F542&lt;=310),1,IF(AND(F542&gt;=250,F542&lt;=330),0.5,0))</f>
        <v>0</v>
      </c>
      <c r="P542">
        <f>IF(AND(E542&gt;=0.8,E542&lt;=1.5),1,IF(AND(E542&gt;=0.5,E542&lt;=2),0.5,0))</f>
        <v>0</v>
      </c>
      <c r="Q542">
        <f>IF(AND(H542&gt;=5000,H542&lt;=6000),1,IF(AND(H542&gt;=4000,H542&lt;5000),0.5,0))</f>
        <v>0</v>
      </c>
      <c r="R542">
        <f>0.35*AVERAGE(L542:M542:N542)+0.3*O542+0.2*P542+0.15*Q542</f>
        <v>0</v>
      </c>
      <c r="S542" t="str">
        <f>LEFT(K542,1)</f>
        <v/>
      </c>
      <c r="T542">
        <f>IF(S542="G",1,0)</f>
        <v>0</v>
      </c>
      <c r="U542">
        <f>IF(S542="K",1,0)</f>
        <v>0</v>
      </c>
      <c r="V542">
        <f>IF(S542="M",1,0)</f>
        <v>0</v>
      </c>
      <c r="W542">
        <f>IF(S542="F",1,0)</f>
        <v>0</v>
      </c>
    </row>
    <row r="543" spans="1:23" x14ac:dyDescent="0.3">
      <c r="A543" t="s">
        <v>195</v>
      </c>
      <c r="B543">
        <v>2.8537201799999998</v>
      </c>
      <c r="C543">
        <v>20.8</v>
      </c>
      <c r="D543">
        <v>6.8661960000000004</v>
      </c>
      <c r="E543">
        <v>7.6999999999999999E-2</v>
      </c>
      <c r="F543">
        <v>1198.94</v>
      </c>
      <c r="G543">
        <f>IF(OR(C543="",B543="",B543=0),"",5.51*(C543/(B543^3)))</f>
        <v>4.9315197273432698</v>
      </c>
      <c r="H543">
        <v>6174</v>
      </c>
      <c r="I543">
        <v>2.885274095364176</v>
      </c>
      <c r="J543">
        <v>0.16400000000000001</v>
      </c>
      <c r="L543">
        <f>IF(AND(B543&gt;=0.8,B543&lt;=1.5),1,IF(AND(B543&gt;=0.5,B543&lt;=2),0.5,0))</f>
        <v>0</v>
      </c>
      <c r="M543">
        <f>IF(AND(C543&gt;=0.5,C543&lt;=2),1,IF(AND(C543&gt;=0.1,C543&lt;=5),0.5,0))</f>
        <v>0</v>
      </c>
      <c r="N543">
        <f>IF(AND(G543&gt;=4,G543&lt;=7),1,IF(AND(G543&gt;=3,G543&lt;=8),0.5,0))</f>
        <v>1</v>
      </c>
      <c r="O543">
        <f>IF(AND(F543&gt;=270,F543&lt;=310),1,IF(AND(F543&gt;=250,F543&lt;=330),0.5,0))</f>
        <v>0</v>
      </c>
      <c r="P543">
        <f>IF(AND(E543&gt;=0.8,E543&lt;=1.5),1,IF(AND(E543&gt;=0.5,E543&lt;=2),0.5,0))</f>
        <v>0</v>
      </c>
      <c r="Q543">
        <f>IF(AND(H543&gt;=5000,H543&lt;=6000),1,IF(AND(H543&gt;=4000,H543&lt;5000),0.5,0))</f>
        <v>0</v>
      </c>
      <c r="R543">
        <f>0.35*AVERAGE(L543:M543:N543)+0.3*O543+0.2*P543+0.15*Q543</f>
        <v>0.11666666666666665</v>
      </c>
      <c r="S543" t="str">
        <f>LEFT(K543,1)</f>
        <v/>
      </c>
      <c r="T543">
        <f>IF(S543="G",1,0)</f>
        <v>0</v>
      </c>
      <c r="U543">
        <f>IF(S543="K",1,0)</f>
        <v>0</v>
      </c>
      <c r="V543">
        <f>IF(S543="M",1,0)</f>
        <v>0</v>
      </c>
      <c r="W543">
        <f>IF(S543="F",1,0)</f>
        <v>0</v>
      </c>
    </row>
    <row r="544" spans="1:23" x14ac:dyDescent="0.3">
      <c r="A544" t="s">
        <v>194</v>
      </c>
      <c r="B544">
        <v>11.096909999999999</v>
      </c>
      <c r="C544">
        <v>486.2799</v>
      </c>
      <c r="D544">
        <v>10.331110000000001</v>
      </c>
      <c r="E544">
        <v>9.7000000000000003E-2</v>
      </c>
      <c r="F544">
        <v>1370</v>
      </c>
      <c r="G544">
        <f>IF(OR(C544="",B544="",B544=0),"",5.51*(C544/(B544^3)))</f>
        <v>1.9607929027431636</v>
      </c>
      <c r="H544">
        <v>5735</v>
      </c>
      <c r="I544">
        <v>2.6744822197073566</v>
      </c>
      <c r="J544">
        <v>0.26</v>
      </c>
      <c r="K544" t="s">
        <v>38</v>
      </c>
      <c r="L544">
        <f>IF(AND(B544&gt;=0.8,B544&lt;=1.5),1,IF(AND(B544&gt;=0.5,B544&lt;=2),0.5,0))</f>
        <v>0</v>
      </c>
      <c r="M544">
        <f>IF(AND(C544&gt;=0.5,C544&lt;=2),1,IF(AND(C544&gt;=0.1,C544&lt;=5),0.5,0))</f>
        <v>0</v>
      </c>
      <c r="N544">
        <f>IF(AND(G544&gt;=4,G544&lt;=7),1,IF(AND(G544&gt;=3,G544&lt;=8),0.5,0))</f>
        <v>0</v>
      </c>
      <c r="O544">
        <f>IF(AND(F544&gt;=270,F544&lt;=310),1,IF(AND(F544&gt;=250,F544&lt;=330),0.5,0))</f>
        <v>0</v>
      </c>
      <c r="P544">
        <f>IF(AND(E544&gt;=0.8,E544&lt;=1.5),1,IF(AND(E544&gt;=0.5,E544&lt;=2),0.5,0))</f>
        <v>0</v>
      </c>
      <c r="Q544">
        <f>IF(AND(H544&gt;=5000,H544&lt;=6000),1,IF(AND(H544&gt;=4000,H544&lt;5000),0.5,0))</f>
        <v>1</v>
      </c>
      <c r="R544">
        <f>0.35*AVERAGE(L544:M544:N544)+0.3*O544+0.2*P544+0.15*Q544</f>
        <v>0.15</v>
      </c>
      <c r="S544" t="str">
        <f>LEFT(K544,1)</f>
        <v>G</v>
      </c>
      <c r="T544">
        <f>IF(S544="G",1,0)</f>
        <v>1</v>
      </c>
      <c r="U544">
        <f>IF(S544="K",1,0)</f>
        <v>0</v>
      </c>
      <c r="V544">
        <f>IF(S544="M",1,0)</f>
        <v>0</v>
      </c>
      <c r="W544">
        <f>IF(S544="F",1,0)</f>
        <v>0</v>
      </c>
    </row>
    <row r="545" spans="1:23" x14ac:dyDescent="0.3">
      <c r="A545" t="s">
        <v>193</v>
      </c>
      <c r="B545">
        <v>8.6999999999999993</v>
      </c>
      <c r="C545">
        <v>86.7</v>
      </c>
      <c r="D545">
        <v>1.5227591</v>
      </c>
      <c r="E545">
        <v>1.8079999999999999E-2</v>
      </c>
      <c r="F545">
        <v>694</v>
      </c>
      <c r="G545">
        <f>IF(OR(C545="",B545="",B545=0),"",5.51*(C545/(B545^3)))</f>
        <v>0.72545910952569714</v>
      </c>
      <c r="H545">
        <v>3260</v>
      </c>
      <c r="I545">
        <v>1.2987522218153568E-2</v>
      </c>
      <c r="J545">
        <v>0.27</v>
      </c>
      <c r="K545" t="s">
        <v>192</v>
      </c>
      <c r="L545">
        <f>IF(AND(B545&gt;=0.8,B545&lt;=1.5),1,IF(AND(B545&gt;=0.5,B545&lt;=2),0.5,0))</f>
        <v>0</v>
      </c>
      <c r="M545">
        <f>IF(AND(C545&gt;=0.5,C545&lt;=2),1,IF(AND(C545&gt;=0.1,C545&lt;=5),0.5,0))</f>
        <v>0</v>
      </c>
      <c r="N545">
        <f>IF(AND(G545&gt;=4,G545&lt;=7),1,IF(AND(G545&gt;=3,G545&lt;=8),0.5,0))</f>
        <v>0</v>
      </c>
      <c r="O545">
        <f>IF(AND(F545&gt;=270,F545&lt;=310),1,IF(AND(F545&gt;=250,F545&lt;=330),0.5,0))</f>
        <v>0</v>
      </c>
      <c r="P545">
        <f>IF(AND(E545&gt;=0.8,E545&lt;=1.5),1,IF(AND(E545&gt;=0.5,E545&lt;=2),0.5,0))</f>
        <v>0</v>
      </c>
      <c r="Q545">
        <f>IF(AND(H545&gt;=5000,H545&lt;=6000),1,IF(AND(H545&gt;=4000,H545&lt;5000),0.5,0))</f>
        <v>0</v>
      </c>
      <c r="R545">
        <f>0.35*AVERAGE(L545:M545:N545)+0.3*O545+0.2*P545+0.15*Q545</f>
        <v>0</v>
      </c>
      <c r="S545" t="str">
        <f>LEFT(K545,1)</f>
        <v>M</v>
      </c>
      <c r="T545">
        <f>IF(S545="G",1,0)</f>
        <v>0</v>
      </c>
      <c r="U545">
        <f>IF(S545="K",1,0)</f>
        <v>0</v>
      </c>
      <c r="V545">
        <f>IF(S545="M",1,0)</f>
        <v>1</v>
      </c>
      <c r="W545">
        <f>IF(S545="F",1,0)</f>
        <v>0</v>
      </c>
    </row>
    <row r="546" spans="1:23" x14ac:dyDescent="0.3">
      <c r="A546" t="s">
        <v>191</v>
      </c>
      <c r="B546">
        <v>12.87</v>
      </c>
      <c r="C546">
        <v>227</v>
      </c>
      <c r="D546">
        <v>10.600569999999999</v>
      </c>
      <c r="E546">
        <v>9.8000000000000004E-2</v>
      </c>
      <c r="F546">
        <v>894</v>
      </c>
      <c r="G546">
        <f>IF(OR(C546="",B546="",B546=0),"",5.51*(C546/(B546^3)))</f>
        <v>0.58673475647591944</v>
      </c>
      <c r="H546">
        <v>5805</v>
      </c>
      <c r="I546">
        <v>1.018823013220036</v>
      </c>
      <c r="J546">
        <v>-0.13</v>
      </c>
      <c r="L546">
        <f>IF(AND(B546&gt;=0.8,B546&lt;=1.5),1,IF(AND(B546&gt;=0.5,B546&lt;=2),0.5,0))</f>
        <v>0</v>
      </c>
      <c r="M546">
        <f>IF(AND(C546&gt;=0.5,C546&lt;=2),1,IF(AND(C546&gt;=0.1,C546&lt;=5),0.5,0))</f>
        <v>0</v>
      </c>
      <c r="N546">
        <f>IF(AND(G546&gt;=4,G546&lt;=7),1,IF(AND(G546&gt;=3,G546&lt;=8),0.5,0))</f>
        <v>0</v>
      </c>
      <c r="O546">
        <f>IF(AND(F546&gt;=270,F546&lt;=310),1,IF(AND(F546&gt;=250,F546&lt;=330),0.5,0))</f>
        <v>0</v>
      </c>
      <c r="P546">
        <f>IF(AND(E546&gt;=0.8,E546&lt;=1.5),1,IF(AND(E546&gt;=0.5,E546&lt;=2),0.5,0))</f>
        <v>0</v>
      </c>
      <c r="Q546">
        <f>IF(AND(H546&gt;=5000,H546&lt;=6000),1,IF(AND(H546&gt;=4000,H546&lt;5000),0.5,0))</f>
        <v>1</v>
      </c>
      <c r="R546">
        <f>0.35*AVERAGE(L546:M546:N546)+0.3*O546+0.2*P546+0.15*Q546</f>
        <v>0.15</v>
      </c>
      <c r="S546" t="str">
        <f>LEFT(K546,1)</f>
        <v/>
      </c>
      <c r="T546">
        <f>IF(S546="G",1,0)</f>
        <v>0</v>
      </c>
      <c r="U546">
        <f>IF(S546="K",1,0)</f>
        <v>0</v>
      </c>
      <c r="V546">
        <f>IF(S546="M",1,0)</f>
        <v>0</v>
      </c>
      <c r="W546">
        <f>IF(S546="F",1,0)</f>
        <v>0</v>
      </c>
    </row>
    <row r="547" spans="1:23" x14ac:dyDescent="0.3">
      <c r="A547" t="s">
        <v>190</v>
      </c>
      <c r="B547">
        <v>12.34108775</v>
      </c>
      <c r="C547">
        <v>572.09113260000004</v>
      </c>
      <c r="D547">
        <v>7.4791819999999998</v>
      </c>
      <c r="E547">
        <v>7.2599999999999998E-2</v>
      </c>
      <c r="F547">
        <v>919</v>
      </c>
      <c r="G547">
        <f>IF(OR(C547="",B547="",B547=0),"",5.51*(C547/(B547^3)))</f>
        <v>1.6770904817366126</v>
      </c>
      <c r="H547">
        <v>5380</v>
      </c>
      <c r="I547">
        <v>0.62518511487655382</v>
      </c>
      <c r="J547">
        <v>0.20599999999999999</v>
      </c>
      <c r="L547">
        <f>IF(AND(B547&gt;=0.8,B547&lt;=1.5),1,IF(AND(B547&gt;=0.5,B547&lt;=2),0.5,0))</f>
        <v>0</v>
      </c>
      <c r="M547">
        <f>IF(AND(C547&gt;=0.5,C547&lt;=2),1,IF(AND(C547&gt;=0.1,C547&lt;=5),0.5,0))</f>
        <v>0</v>
      </c>
      <c r="N547">
        <f>IF(AND(G547&gt;=4,G547&lt;=7),1,IF(AND(G547&gt;=3,G547&lt;=8),0.5,0))</f>
        <v>0</v>
      </c>
      <c r="O547">
        <f>IF(AND(F547&gt;=270,F547&lt;=310),1,IF(AND(F547&gt;=250,F547&lt;=330),0.5,0))</f>
        <v>0</v>
      </c>
      <c r="P547">
        <f>IF(AND(E547&gt;=0.8,E547&lt;=1.5),1,IF(AND(E547&gt;=0.5,E547&lt;=2),0.5,0))</f>
        <v>0</v>
      </c>
      <c r="Q547">
        <f>IF(AND(H547&gt;=5000,H547&lt;=6000),1,IF(AND(H547&gt;=4000,H547&lt;5000),0.5,0))</f>
        <v>1</v>
      </c>
      <c r="R547">
        <f>0.35*AVERAGE(L547:M547:N547)+0.3*O547+0.2*P547+0.15*Q547</f>
        <v>0.15</v>
      </c>
      <c r="S547" t="str">
        <f>LEFT(K547,1)</f>
        <v/>
      </c>
      <c r="T547">
        <f>IF(S547="G",1,0)</f>
        <v>0</v>
      </c>
      <c r="U547">
        <f>IF(S547="K",1,0)</f>
        <v>0</v>
      </c>
      <c r="V547">
        <f>IF(S547="M",1,0)</f>
        <v>0</v>
      </c>
      <c r="W547">
        <f>IF(S547="F",1,0)</f>
        <v>0</v>
      </c>
    </row>
    <row r="548" spans="1:23" x14ac:dyDescent="0.3">
      <c r="A548" t="s">
        <v>189</v>
      </c>
      <c r="B548">
        <v>8.5412432900000006</v>
      </c>
      <c r="C548">
        <v>88.991953960000004</v>
      </c>
      <c r="D548">
        <v>21.491983999999999</v>
      </c>
      <c r="E548">
        <v>0.1515</v>
      </c>
      <c r="F548">
        <v>717.6</v>
      </c>
      <c r="G548">
        <f>IF(OR(C548="",B548="",B548=0),"",5.51*(C548/(B548^3)))</f>
        <v>0.78693536625873128</v>
      </c>
      <c r="H548">
        <v>5640</v>
      </c>
      <c r="I548">
        <v>1.0104415239137543</v>
      </c>
      <c r="J548">
        <v>0.16500000000000001</v>
      </c>
      <c r="L548">
        <f>IF(AND(B548&gt;=0.8,B548&lt;=1.5),1,IF(AND(B548&gt;=0.5,B548&lt;=2),0.5,0))</f>
        <v>0</v>
      </c>
      <c r="M548">
        <f>IF(AND(C548&gt;=0.5,C548&lt;=2),1,IF(AND(C548&gt;=0.1,C548&lt;=5),0.5,0))</f>
        <v>0</v>
      </c>
      <c r="N548">
        <f>IF(AND(G548&gt;=4,G548&lt;=7),1,IF(AND(G548&gt;=3,G548&lt;=8),0.5,0))</f>
        <v>0</v>
      </c>
      <c r="O548">
        <f>IF(AND(F548&gt;=270,F548&lt;=310),1,IF(AND(F548&gt;=250,F548&lt;=330),0.5,0))</f>
        <v>0</v>
      </c>
      <c r="P548">
        <f>IF(AND(E548&gt;=0.8,E548&lt;=1.5),1,IF(AND(E548&gt;=0.5,E548&lt;=2),0.5,0))</f>
        <v>0</v>
      </c>
      <c r="Q548">
        <f>IF(AND(H548&gt;=5000,H548&lt;=6000),1,IF(AND(H548&gt;=4000,H548&lt;5000),0.5,0))</f>
        <v>1</v>
      </c>
      <c r="R548">
        <f>0.35*AVERAGE(L548:M548:N548)+0.3*O548+0.2*P548+0.15*Q548</f>
        <v>0.15</v>
      </c>
      <c r="S548" t="str">
        <f>LEFT(K548,1)</f>
        <v/>
      </c>
      <c r="T548">
        <f>IF(S548="G",1,0)</f>
        <v>0</v>
      </c>
      <c r="U548">
        <f>IF(S548="K",1,0)</f>
        <v>0</v>
      </c>
      <c r="V548">
        <f>IF(S548="M",1,0)</f>
        <v>0</v>
      </c>
      <c r="W548">
        <f>IF(S548="F",1,0)</f>
        <v>0</v>
      </c>
    </row>
    <row r="549" spans="1:23" x14ac:dyDescent="0.3">
      <c r="A549" t="s">
        <v>188</v>
      </c>
      <c r="B549">
        <v>1.1659999999999999</v>
      </c>
      <c r="C549">
        <v>1.42</v>
      </c>
      <c r="D549">
        <v>0.54817700000000003</v>
      </c>
      <c r="E549">
        <v>1.189E-2</v>
      </c>
      <c r="F549">
        <v>1617</v>
      </c>
      <c r="G549">
        <f>IF(OR(C549="",B549="",B549=0),"",5.51*(C549/(B549^3)))</f>
        <v>4.9356492819694493</v>
      </c>
      <c r="H549">
        <v>4440</v>
      </c>
      <c r="I549">
        <v>0.1602806585487688</v>
      </c>
      <c r="J549">
        <v>0.12</v>
      </c>
      <c r="K549" t="s">
        <v>187</v>
      </c>
      <c r="L549">
        <f>IF(AND(B549&gt;=0.8,B549&lt;=1.5),1,IF(AND(B549&gt;=0.5,B549&lt;=2),0.5,0))</f>
        <v>1</v>
      </c>
      <c r="M549">
        <f>IF(AND(C549&gt;=0.5,C549&lt;=2),1,IF(AND(C549&gt;=0.1,C549&lt;=5),0.5,0))</f>
        <v>1</v>
      </c>
      <c r="N549">
        <f>IF(AND(G549&gt;=4,G549&lt;=7),1,IF(AND(G549&gt;=3,G549&lt;=8),0.5,0))</f>
        <v>1</v>
      </c>
      <c r="O549">
        <f>IF(AND(F549&gt;=270,F549&lt;=310),1,IF(AND(F549&gt;=250,F549&lt;=330),0.5,0))</f>
        <v>0</v>
      </c>
      <c r="P549">
        <f>IF(AND(E549&gt;=0.8,E549&lt;=1.5),1,IF(AND(E549&gt;=0.5,E549&lt;=2),0.5,0))</f>
        <v>0</v>
      </c>
      <c r="Q549">
        <f>IF(AND(H549&gt;=5000,H549&lt;=6000),1,IF(AND(H549&gt;=4000,H549&lt;5000),0.5,0))</f>
        <v>0.5</v>
      </c>
      <c r="R549">
        <f>0.35*AVERAGE(L549:M549:N549)+0.3*O549+0.2*P549+0.15*Q549</f>
        <v>0.42499999999999999</v>
      </c>
      <c r="S549" t="str">
        <f>LEFT(K549,1)</f>
        <v>K</v>
      </c>
      <c r="T549">
        <f>IF(S549="G",1,0)</f>
        <v>0</v>
      </c>
      <c r="U549">
        <f>IF(S549="K",1,0)</f>
        <v>1</v>
      </c>
      <c r="V549">
        <f>IF(S549="M",1,0)</f>
        <v>0</v>
      </c>
      <c r="W549">
        <f>IF(S549="F",1,0)</f>
        <v>0</v>
      </c>
    </row>
    <row r="550" spans="1:23" x14ac:dyDescent="0.3">
      <c r="A550" t="s">
        <v>186</v>
      </c>
      <c r="B550">
        <v>6.25</v>
      </c>
      <c r="C550">
        <v>32.700000000000003</v>
      </c>
      <c r="D550">
        <v>6.3085044000000003</v>
      </c>
      <c r="E550">
        <v>6.6140000000000004E-2</v>
      </c>
      <c r="F550">
        <v>1040</v>
      </c>
      <c r="G550">
        <f>IF(OR(C550="",B550="",B550=0),"",5.51*(C550/(B550^3)))</f>
        <v>0.73800499200000003</v>
      </c>
      <c r="H550">
        <v>5749</v>
      </c>
      <c r="I550">
        <v>0.8476664250366881</v>
      </c>
      <c r="J550">
        <v>0.15</v>
      </c>
      <c r="K550" t="s">
        <v>185</v>
      </c>
      <c r="L550">
        <f>IF(AND(B550&gt;=0.8,B550&lt;=1.5),1,IF(AND(B550&gt;=0.5,B550&lt;=2),0.5,0))</f>
        <v>0</v>
      </c>
      <c r="M550">
        <f>IF(AND(C550&gt;=0.5,C550&lt;=2),1,IF(AND(C550&gt;=0.1,C550&lt;=5),0.5,0))</f>
        <v>0</v>
      </c>
      <c r="N550">
        <f>IF(AND(G550&gt;=4,G550&lt;=7),1,IF(AND(G550&gt;=3,G550&lt;=8),0.5,0))</f>
        <v>0</v>
      </c>
      <c r="O550">
        <f>IF(AND(F550&gt;=270,F550&lt;=310),1,IF(AND(F550&gt;=250,F550&lt;=330),0.5,0))</f>
        <v>0</v>
      </c>
      <c r="P550">
        <f>IF(AND(E550&gt;=0.8,E550&lt;=1.5),1,IF(AND(E550&gt;=0.5,E550&lt;=2),0.5,0))</f>
        <v>0</v>
      </c>
      <c r="Q550">
        <f>IF(AND(H550&gt;=5000,H550&lt;=6000),1,IF(AND(H550&gt;=4000,H550&lt;5000),0.5,0))</f>
        <v>1</v>
      </c>
      <c r="R550">
        <f>0.35*AVERAGE(L550:M550:N550)+0.3*O550+0.2*P550+0.15*Q550</f>
        <v>0.15</v>
      </c>
      <c r="S550" t="str">
        <f>LEFT(K550,1)</f>
        <v>G</v>
      </c>
      <c r="T550">
        <f>IF(S550="G",1,0)</f>
        <v>1</v>
      </c>
      <c r="U550">
        <f>IF(S550="K",1,0)</f>
        <v>0</v>
      </c>
      <c r="V550">
        <f>IF(S550="M",1,0)</f>
        <v>0</v>
      </c>
      <c r="W550">
        <f>IF(S550="F",1,0)</f>
        <v>0</v>
      </c>
    </row>
    <row r="551" spans="1:23" x14ac:dyDescent="0.3">
      <c r="A551" t="s">
        <v>184</v>
      </c>
      <c r="B551">
        <v>10.76062147</v>
      </c>
      <c r="C551">
        <v>642.01338213999998</v>
      </c>
      <c r="D551">
        <v>10.243679999999999</v>
      </c>
      <c r="E551">
        <v>9.2999999999999999E-2</v>
      </c>
      <c r="F551">
        <v>1056</v>
      </c>
      <c r="G551">
        <f>IF(OR(C551="",B551="",B551=0),"",5.51*(C551/(B551^3)))</f>
        <v>2.8391191328999326</v>
      </c>
      <c r="H551">
        <v>5909</v>
      </c>
      <c r="I551">
        <v>0.92580914119513458</v>
      </c>
      <c r="J551">
        <v>-0.15</v>
      </c>
      <c r="L551">
        <f>IF(AND(B551&gt;=0.8,B551&lt;=1.5),1,IF(AND(B551&gt;=0.5,B551&lt;=2),0.5,0))</f>
        <v>0</v>
      </c>
      <c r="M551">
        <f>IF(AND(C551&gt;=0.5,C551&lt;=2),1,IF(AND(C551&gt;=0.1,C551&lt;=5),0.5,0))</f>
        <v>0</v>
      </c>
      <c r="N551">
        <f>IF(AND(G551&gt;=4,G551&lt;=7),1,IF(AND(G551&gt;=3,G551&lt;=8),0.5,0))</f>
        <v>0</v>
      </c>
      <c r="O551">
        <f>IF(AND(F551&gt;=270,F551&lt;=310),1,IF(AND(F551&gt;=250,F551&lt;=330),0.5,0))</f>
        <v>0</v>
      </c>
      <c r="P551">
        <f>IF(AND(E551&gt;=0.8,E551&lt;=1.5),1,IF(AND(E551&gt;=0.5,E551&lt;=2),0.5,0))</f>
        <v>0</v>
      </c>
      <c r="Q551">
        <f>IF(AND(H551&gt;=5000,H551&lt;=6000),1,IF(AND(H551&gt;=4000,H551&lt;5000),0.5,0))</f>
        <v>1</v>
      </c>
      <c r="R551">
        <f>0.35*AVERAGE(L551:M551:N551)+0.3*O551+0.2*P551+0.15*Q551</f>
        <v>0.15</v>
      </c>
      <c r="S551" t="str">
        <f>LEFT(K551,1)</f>
        <v/>
      </c>
      <c r="T551">
        <f>IF(S551="G",1,0)</f>
        <v>0</v>
      </c>
      <c r="U551">
        <f>IF(S551="K",1,0)</f>
        <v>0</v>
      </c>
      <c r="V551">
        <f>IF(S551="M",1,0)</f>
        <v>0</v>
      </c>
      <c r="W551">
        <f>IF(S551="F",1,0)</f>
        <v>0</v>
      </c>
    </row>
    <row r="552" spans="1:23" x14ac:dyDescent="0.3">
      <c r="A552" t="s">
        <v>183</v>
      </c>
      <c r="B552">
        <v>3.48935569</v>
      </c>
      <c r="C552">
        <v>16.145683080000001</v>
      </c>
      <c r="D552">
        <v>23.443162000000001</v>
      </c>
      <c r="E552">
        <v>0.14810000000000001</v>
      </c>
      <c r="F552">
        <v>550</v>
      </c>
      <c r="G552">
        <f>IF(OR(C552="",B552="",B552=0),"",5.51*(C552/(B552^3)))</f>
        <v>2.0939788794596002</v>
      </c>
      <c r="H552">
        <v>4780</v>
      </c>
      <c r="I552">
        <v>0.33364631275327727</v>
      </c>
      <c r="J552">
        <v>8.2000000000000003E-2</v>
      </c>
      <c r="L552">
        <f>IF(AND(B552&gt;=0.8,B552&lt;=1.5),1,IF(AND(B552&gt;=0.5,B552&lt;=2),0.5,0))</f>
        <v>0</v>
      </c>
      <c r="M552">
        <f>IF(AND(C552&gt;=0.5,C552&lt;=2),1,IF(AND(C552&gt;=0.1,C552&lt;=5),0.5,0))</f>
        <v>0</v>
      </c>
      <c r="N552">
        <f>IF(AND(G552&gt;=4,G552&lt;=7),1,IF(AND(G552&gt;=3,G552&lt;=8),0.5,0))</f>
        <v>0</v>
      </c>
      <c r="O552">
        <f>IF(AND(F552&gt;=270,F552&lt;=310),1,IF(AND(F552&gt;=250,F552&lt;=330),0.5,0))</f>
        <v>0</v>
      </c>
      <c r="P552">
        <f>IF(AND(E552&gt;=0.8,E552&lt;=1.5),1,IF(AND(E552&gt;=0.5,E552&lt;=2),0.5,0))</f>
        <v>0</v>
      </c>
      <c r="Q552">
        <f>IF(AND(H552&gt;=5000,H552&lt;=6000),1,IF(AND(H552&gt;=4000,H552&lt;5000),0.5,0))</f>
        <v>0.5</v>
      </c>
      <c r="R552">
        <f>0.35*AVERAGE(L552:M552:N552)+0.3*O552+0.2*P552+0.15*Q552</f>
        <v>7.4999999999999997E-2</v>
      </c>
      <c r="S552" t="str">
        <f>LEFT(K552,1)</f>
        <v/>
      </c>
      <c r="T552">
        <f>IF(S552="G",1,0)</f>
        <v>0</v>
      </c>
      <c r="U552">
        <f>IF(S552="K",1,0)</f>
        <v>0</v>
      </c>
      <c r="V552">
        <f>IF(S552="M",1,0)</f>
        <v>0</v>
      </c>
      <c r="W552">
        <f>IF(S552="F",1,0)</f>
        <v>0</v>
      </c>
    </row>
    <row r="553" spans="1:23" x14ac:dyDescent="0.3">
      <c r="A553" t="s">
        <v>182</v>
      </c>
      <c r="B553">
        <v>2.5481099999999999</v>
      </c>
      <c r="D553">
        <v>4.2401220000000004</v>
      </c>
      <c r="E553">
        <v>5.1204842E-2</v>
      </c>
      <c r="F553">
        <v>1164.9100000000001</v>
      </c>
      <c r="G553" t="str">
        <f>IF(OR(C553="",B553="",B553=0),"",5.51*(C553/(B553^3)))</f>
        <v/>
      </c>
      <c r="H553">
        <v>5670</v>
      </c>
      <c r="I553">
        <v>0.80202514167326477</v>
      </c>
      <c r="L553">
        <f>IF(AND(B553&gt;=0.8,B553&lt;=1.5),1,IF(AND(B553&gt;=0.5,B553&lt;=2),0.5,0))</f>
        <v>0</v>
      </c>
      <c r="M553">
        <f>IF(AND(C553&gt;=0.5,C553&lt;=2),1,IF(AND(C553&gt;=0.1,C553&lt;=5),0.5,0))</f>
        <v>0</v>
      </c>
      <c r="N553">
        <f>IF(AND(G553&gt;=4,G553&lt;=7),1,IF(AND(G553&gt;=3,G553&lt;=8),0.5,0))</f>
        <v>0</v>
      </c>
      <c r="O553">
        <f>IF(AND(F553&gt;=270,F553&lt;=310),1,IF(AND(F553&gt;=250,F553&lt;=330),0.5,0))</f>
        <v>0</v>
      </c>
      <c r="P553">
        <f>IF(AND(E553&gt;=0.8,E553&lt;=1.5),1,IF(AND(E553&gt;=0.5,E553&lt;=2),0.5,0))</f>
        <v>0</v>
      </c>
      <c r="Q553">
        <f>IF(AND(H553&gt;=5000,H553&lt;=6000),1,IF(AND(H553&gt;=4000,H553&lt;5000),0.5,0))</f>
        <v>1</v>
      </c>
      <c r="R553">
        <f>0.35*AVERAGE(L553:M553:N553)+0.3*O553+0.2*P553+0.15*Q553</f>
        <v>0.15</v>
      </c>
      <c r="S553" t="str">
        <f>LEFT(K553,1)</f>
        <v/>
      </c>
      <c r="T553">
        <f>IF(S553="G",1,0)</f>
        <v>0</v>
      </c>
      <c r="U553">
        <f>IF(S553="K",1,0)</f>
        <v>0</v>
      </c>
      <c r="V553">
        <f>IF(S553="M",1,0)</f>
        <v>0</v>
      </c>
      <c r="W553">
        <f>IF(S553="F",1,0)</f>
        <v>0</v>
      </c>
    </row>
    <row r="554" spans="1:23" x14ac:dyDescent="0.3">
      <c r="A554" t="s">
        <v>181</v>
      </c>
      <c r="B554">
        <v>6.6</v>
      </c>
      <c r="C554">
        <v>32</v>
      </c>
      <c r="D554">
        <v>6.7535809999999996</v>
      </c>
      <c r="E554">
        <v>7.2999999999999995E-2</v>
      </c>
      <c r="F554">
        <v>1180</v>
      </c>
      <c r="G554">
        <f>IF(OR(C554="",B554="",B554=0),"",5.51*(C554/(B554^3)))</f>
        <v>0.61329548932854716</v>
      </c>
      <c r="H554">
        <v>5808</v>
      </c>
      <c r="I554">
        <v>1.6989308452624701</v>
      </c>
      <c r="J554">
        <v>0.2</v>
      </c>
      <c r="L554">
        <f>IF(AND(B554&gt;=0.8,B554&lt;=1.5),1,IF(AND(B554&gt;=0.5,B554&lt;=2),0.5,0))</f>
        <v>0</v>
      </c>
      <c r="M554">
        <f>IF(AND(C554&gt;=0.5,C554&lt;=2),1,IF(AND(C554&gt;=0.1,C554&lt;=5),0.5,0))</f>
        <v>0</v>
      </c>
      <c r="N554">
        <f>IF(AND(G554&gt;=4,G554&lt;=7),1,IF(AND(G554&gt;=3,G554&lt;=8),0.5,0))</f>
        <v>0</v>
      </c>
      <c r="O554">
        <f>IF(AND(F554&gt;=270,F554&lt;=310),1,IF(AND(F554&gt;=250,F554&lt;=330),0.5,0))</f>
        <v>0</v>
      </c>
      <c r="P554">
        <f>IF(AND(E554&gt;=0.8,E554&lt;=1.5),1,IF(AND(E554&gt;=0.5,E554&lt;=2),0.5,0))</f>
        <v>0</v>
      </c>
      <c r="Q554">
        <f>IF(AND(H554&gt;=5000,H554&lt;=6000),1,IF(AND(H554&gt;=4000,H554&lt;5000),0.5,0))</f>
        <v>1</v>
      </c>
      <c r="R554">
        <f>0.35*AVERAGE(L554:M554:N554)+0.3*O554+0.2*P554+0.15*Q554</f>
        <v>0.15</v>
      </c>
      <c r="S554" t="str">
        <f>LEFT(K554,1)</f>
        <v/>
      </c>
      <c r="T554">
        <f>IF(S554="G",1,0)</f>
        <v>0</v>
      </c>
      <c r="U554">
        <f>IF(S554="K",1,0)</f>
        <v>0</v>
      </c>
      <c r="V554">
        <f>IF(S554="M",1,0)</f>
        <v>0</v>
      </c>
      <c r="W554">
        <f>IF(S554="F",1,0)</f>
        <v>0</v>
      </c>
    </row>
    <row r="555" spans="1:23" x14ac:dyDescent="0.3">
      <c r="A555" t="s">
        <v>180</v>
      </c>
      <c r="B555">
        <v>11.982400370000001</v>
      </c>
      <c r="C555">
        <v>921.70238029999996</v>
      </c>
      <c r="D555">
        <v>30.158577000000001</v>
      </c>
      <c r="E555">
        <v>0.2157</v>
      </c>
      <c r="F555">
        <v>976</v>
      </c>
      <c r="G555">
        <f>IF(OR(C555="",B555="",B555=0),"",5.51*(C555/(B555^3)))</f>
        <v>2.9519624441825734</v>
      </c>
      <c r="H555">
        <v>6160</v>
      </c>
      <c r="I555">
        <v>7.0314060158831451</v>
      </c>
      <c r="J555">
        <v>6.5000000000000002E-2</v>
      </c>
      <c r="L555">
        <f>IF(AND(B555&gt;=0.8,B555&lt;=1.5),1,IF(AND(B555&gt;=0.5,B555&lt;=2),0.5,0))</f>
        <v>0</v>
      </c>
      <c r="M555">
        <f>IF(AND(C555&gt;=0.5,C555&lt;=2),1,IF(AND(C555&gt;=0.1,C555&lt;=5),0.5,0))</f>
        <v>0</v>
      </c>
      <c r="N555">
        <f>IF(AND(G555&gt;=4,G555&lt;=7),1,IF(AND(G555&gt;=3,G555&lt;=8),0.5,0))</f>
        <v>0</v>
      </c>
      <c r="O555">
        <f>IF(AND(F555&gt;=270,F555&lt;=310),1,IF(AND(F555&gt;=250,F555&lt;=330),0.5,0))</f>
        <v>0</v>
      </c>
      <c r="P555">
        <f>IF(AND(E555&gt;=0.8,E555&lt;=1.5),1,IF(AND(E555&gt;=0.5,E555&lt;=2),0.5,0))</f>
        <v>0</v>
      </c>
      <c r="Q555">
        <f>IF(AND(H555&gt;=5000,H555&lt;=6000),1,IF(AND(H555&gt;=4000,H555&lt;5000),0.5,0))</f>
        <v>0</v>
      </c>
      <c r="R555">
        <f>0.35*AVERAGE(L555:M555:N555)+0.3*O555+0.2*P555+0.15*Q555</f>
        <v>0</v>
      </c>
      <c r="S555" t="str">
        <f>LEFT(K555,1)</f>
        <v/>
      </c>
      <c r="T555">
        <f>IF(S555="G",1,0)</f>
        <v>0</v>
      </c>
      <c r="U555">
        <f>IF(S555="K",1,0)</f>
        <v>0</v>
      </c>
      <c r="V555">
        <f>IF(S555="M",1,0)</f>
        <v>0</v>
      </c>
      <c r="W555">
        <f>IF(S555="F",1,0)</f>
        <v>0</v>
      </c>
    </row>
    <row r="556" spans="1:23" x14ac:dyDescent="0.3">
      <c r="A556" t="s">
        <v>179</v>
      </c>
      <c r="B556">
        <v>1.54</v>
      </c>
      <c r="C556">
        <v>3.57</v>
      </c>
      <c r="D556">
        <v>7.18886</v>
      </c>
      <c r="F556">
        <v>1009</v>
      </c>
      <c r="G556">
        <f>IF(OR(C556="",B556="",B556=0),"",5.51*(C556/(B556^3)))</f>
        <v>5.3858921479936823</v>
      </c>
      <c r="H556">
        <v>5277</v>
      </c>
      <c r="I556">
        <v>0.55108455569346892</v>
      </c>
      <c r="J556">
        <v>-0.11</v>
      </c>
      <c r="L556">
        <f>IF(AND(B556&gt;=0.8,B556&lt;=1.5),1,IF(AND(B556&gt;=0.5,B556&lt;=2),0.5,0))</f>
        <v>0.5</v>
      </c>
      <c r="M556">
        <f>IF(AND(C556&gt;=0.5,C556&lt;=2),1,IF(AND(C556&gt;=0.1,C556&lt;=5),0.5,0))</f>
        <v>0.5</v>
      </c>
      <c r="N556">
        <f>IF(AND(G556&gt;=4,G556&lt;=7),1,IF(AND(G556&gt;=3,G556&lt;=8),0.5,0))</f>
        <v>1</v>
      </c>
      <c r="O556">
        <f>IF(AND(F556&gt;=270,F556&lt;=310),1,IF(AND(F556&gt;=250,F556&lt;=330),0.5,0))</f>
        <v>0</v>
      </c>
      <c r="P556">
        <f>IF(AND(E556&gt;=0.8,E556&lt;=1.5),1,IF(AND(E556&gt;=0.5,E556&lt;=2),0.5,0))</f>
        <v>0</v>
      </c>
      <c r="Q556">
        <f>IF(AND(H556&gt;=5000,H556&lt;=6000),1,IF(AND(H556&gt;=4000,H556&lt;5000),0.5,0))</f>
        <v>1</v>
      </c>
      <c r="R556">
        <f>0.35*AVERAGE(L556:M556:N556)+0.3*O556+0.2*P556+0.15*Q556</f>
        <v>0.3833333333333333</v>
      </c>
      <c r="S556" t="str">
        <f>LEFT(K556,1)</f>
        <v/>
      </c>
      <c r="T556">
        <f>IF(S556="G",1,0)</f>
        <v>0</v>
      </c>
      <c r="U556">
        <f>IF(S556="K",1,0)</f>
        <v>0</v>
      </c>
      <c r="V556">
        <f>IF(S556="M",1,0)</f>
        <v>0</v>
      </c>
      <c r="W556">
        <f>IF(S556="F",1,0)</f>
        <v>0</v>
      </c>
    </row>
    <row r="557" spans="1:23" x14ac:dyDescent="0.3">
      <c r="A557" t="s">
        <v>178</v>
      </c>
      <c r="B557">
        <v>4.74</v>
      </c>
      <c r="D557">
        <v>5.4588384999999997</v>
      </c>
      <c r="E557">
        <v>6.5189999999999998E-2</v>
      </c>
      <c r="F557">
        <v>1442</v>
      </c>
      <c r="G557" t="str">
        <f>IF(OR(C557="",B557="",B557=0),"",5.51*(C557/(B557^3)))</f>
        <v/>
      </c>
      <c r="H557">
        <v>6150</v>
      </c>
      <c r="I557">
        <v>1.97666865756821</v>
      </c>
      <c r="J557">
        <v>0.18</v>
      </c>
      <c r="K557" t="s">
        <v>141</v>
      </c>
      <c r="L557">
        <f>IF(AND(B557&gt;=0.8,B557&lt;=1.5),1,IF(AND(B557&gt;=0.5,B557&lt;=2),0.5,0))</f>
        <v>0</v>
      </c>
      <c r="M557">
        <f>IF(AND(C557&gt;=0.5,C557&lt;=2),1,IF(AND(C557&gt;=0.1,C557&lt;=5),0.5,0))</f>
        <v>0</v>
      </c>
      <c r="N557">
        <f>IF(AND(G557&gt;=4,G557&lt;=7),1,IF(AND(G557&gt;=3,G557&lt;=8),0.5,0))</f>
        <v>0</v>
      </c>
      <c r="O557">
        <f>IF(AND(F557&gt;=270,F557&lt;=310),1,IF(AND(F557&gt;=250,F557&lt;=330),0.5,0))</f>
        <v>0</v>
      </c>
      <c r="P557">
        <f>IF(AND(E557&gt;=0.8,E557&lt;=1.5),1,IF(AND(E557&gt;=0.5,E557&lt;=2),0.5,0))</f>
        <v>0</v>
      </c>
      <c r="Q557">
        <f>IF(AND(H557&gt;=5000,H557&lt;=6000),1,IF(AND(H557&gt;=4000,H557&lt;5000),0.5,0))</f>
        <v>0</v>
      </c>
      <c r="R557">
        <f>0.35*AVERAGE(L557:M557:N557)+0.3*O557+0.2*P557+0.15*Q557</f>
        <v>0</v>
      </c>
      <c r="S557" t="str">
        <f>LEFT(K557,1)</f>
        <v>F</v>
      </c>
      <c r="T557">
        <f>IF(S557="G",1,0)</f>
        <v>0</v>
      </c>
      <c r="U557">
        <f>IF(S557="K",1,0)</f>
        <v>0</v>
      </c>
      <c r="V557">
        <f>IF(S557="M",1,0)</f>
        <v>0</v>
      </c>
      <c r="W557">
        <f>IF(S557="F",1,0)</f>
        <v>1</v>
      </c>
    </row>
    <row r="558" spans="1:23" x14ac:dyDescent="0.3">
      <c r="A558" t="s">
        <v>177</v>
      </c>
      <c r="B558">
        <v>3.86</v>
      </c>
      <c r="D558">
        <v>17.899899999999999</v>
      </c>
      <c r="E558">
        <v>0.1439</v>
      </c>
      <c r="F558">
        <v>971</v>
      </c>
      <c r="G558" t="str">
        <f>IF(OR(C558="",B558="",B558=0),"",5.51*(C558/(B558^3)))</f>
        <v/>
      </c>
      <c r="H558">
        <v>6150</v>
      </c>
      <c r="I558">
        <v>1.97666865756821</v>
      </c>
      <c r="J558">
        <v>0.18</v>
      </c>
      <c r="K558" t="s">
        <v>141</v>
      </c>
      <c r="L558">
        <f>IF(AND(B558&gt;=0.8,B558&lt;=1.5),1,IF(AND(B558&gt;=0.5,B558&lt;=2),0.5,0))</f>
        <v>0</v>
      </c>
      <c r="M558">
        <f>IF(AND(C558&gt;=0.5,C558&lt;=2),1,IF(AND(C558&gt;=0.1,C558&lt;=5),0.5,0))</f>
        <v>0</v>
      </c>
      <c r="N558">
        <f>IF(AND(G558&gt;=4,G558&lt;=7),1,IF(AND(G558&gt;=3,G558&lt;=8),0.5,0))</f>
        <v>0</v>
      </c>
      <c r="O558">
        <f>IF(AND(F558&gt;=270,F558&lt;=310),1,IF(AND(F558&gt;=250,F558&lt;=330),0.5,0))</f>
        <v>0</v>
      </c>
      <c r="P558">
        <f>IF(AND(E558&gt;=0.8,E558&lt;=1.5),1,IF(AND(E558&gt;=0.5,E558&lt;=2),0.5,0))</f>
        <v>0</v>
      </c>
      <c r="Q558">
        <f>IF(AND(H558&gt;=5000,H558&lt;=6000),1,IF(AND(H558&gt;=4000,H558&lt;5000),0.5,0))</f>
        <v>0</v>
      </c>
      <c r="R558">
        <f>0.35*AVERAGE(L558:M558:N558)+0.3*O558+0.2*P558+0.15*Q558</f>
        <v>0</v>
      </c>
      <c r="S558" t="str">
        <f>LEFT(K558,1)</f>
        <v>F</v>
      </c>
      <c r="T558">
        <f>IF(S558="G",1,0)</f>
        <v>0</v>
      </c>
      <c r="U558">
        <f>IF(S558="K",1,0)</f>
        <v>0</v>
      </c>
      <c r="V558">
        <f>IF(S558="M",1,0)</f>
        <v>0</v>
      </c>
      <c r="W558">
        <f>IF(S558="F",1,0)</f>
        <v>1</v>
      </c>
    </row>
    <row r="559" spans="1:23" x14ac:dyDescent="0.3">
      <c r="A559" t="s">
        <v>176</v>
      </c>
      <c r="B559">
        <v>16.253022009999999</v>
      </c>
      <c r="D559">
        <v>5.2097118</v>
      </c>
      <c r="E559">
        <v>5.602E-2</v>
      </c>
      <c r="G559" t="str">
        <f>IF(OR(C559="",B559="",B559=0),"",5.51*(C559/(B559^3)))</f>
        <v/>
      </c>
      <c r="H559">
        <v>5183</v>
      </c>
      <c r="I559">
        <v>0.46999568947421894</v>
      </c>
      <c r="J559">
        <v>0.107</v>
      </c>
      <c r="K559" t="s">
        <v>7</v>
      </c>
      <c r="L559">
        <f>IF(AND(B559&gt;=0.8,B559&lt;=1.5),1,IF(AND(B559&gt;=0.5,B559&lt;=2),0.5,0))</f>
        <v>0</v>
      </c>
      <c r="M559">
        <f>IF(AND(C559&gt;=0.5,C559&lt;=2),1,IF(AND(C559&gt;=0.1,C559&lt;=5),0.5,0))</f>
        <v>0</v>
      </c>
      <c r="N559">
        <f>IF(AND(G559&gt;=4,G559&lt;=7),1,IF(AND(G559&gt;=3,G559&lt;=8),0.5,0))</f>
        <v>0</v>
      </c>
      <c r="O559">
        <f>IF(AND(F559&gt;=270,F559&lt;=310),1,IF(AND(F559&gt;=250,F559&lt;=330),0.5,0))</f>
        <v>0</v>
      </c>
      <c r="P559">
        <f>IF(AND(E559&gt;=0.8,E559&lt;=1.5),1,IF(AND(E559&gt;=0.5,E559&lt;=2),0.5,0))</f>
        <v>0</v>
      </c>
      <c r="Q559">
        <f>IF(AND(H559&gt;=5000,H559&lt;=6000),1,IF(AND(H559&gt;=4000,H559&lt;5000),0.5,0))</f>
        <v>1</v>
      </c>
      <c r="R559">
        <f>0.35*AVERAGE(L559:M559:N559)+0.3*O559+0.2*P559+0.15*Q559</f>
        <v>0.15</v>
      </c>
      <c r="S559" t="str">
        <f>LEFT(K559,1)</f>
        <v>K</v>
      </c>
      <c r="T559">
        <f>IF(S559="G",1,0)</f>
        <v>0</v>
      </c>
      <c r="U559">
        <f>IF(S559="K",1,0)</f>
        <v>1</v>
      </c>
      <c r="V559">
        <f>IF(S559="M",1,0)</f>
        <v>0</v>
      </c>
      <c r="W559">
        <f>IF(S559="F",1,0)</f>
        <v>0</v>
      </c>
    </row>
    <row r="560" spans="1:23" x14ac:dyDescent="0.3">
      <c r="A560" t="s">
        <v>175</v>
      </c>
      <c r="B560">
        <v>11.881519539999999</v>
      </c>
      <c r="C560">
        <v>1036.1206068199999</v>
      </c>
      <c r="D560">
        <v>20.330030000000001</v>
      </c>
      <c r="E560">
        <v>0.158</v>
      </c>
      <c r="F560">
        <v>906</v>
      </c>
      <c r="G560">
        <f>IF(OR(C560="",B560="",B560=0),"",5.51*(C560/(B560^3)))</f>
        <v>3.4036582720955662</v>
      </c>
      <c r="H560">
        <v>6300</v>
      </c>
      <c r="I560">
        <v>2.7701808272277542</v>
      </c>
      <c r="J560">
        <v>0.12</v>
      </c>
      <c r="K560" t="s">
        <v>174</v>
      </c>
      <c r="L560">
        <f>IF(AND(B560&gt;=0.8,B560&lt;=1.5),1,IF(AND(B560&gt;=0.5,B560&lt;=2),0.5,0))</f>
        <v>0</v>
      </c>
      <c r="M560">
        <f>IF(AND(C560&gt;=0.5,C560&lt;=2),1,IF(AND(C560&gt;=0.1,C560&lt;=5),0.5,0))</f>
        <v>0</v>
      </c>
      <c r="N560">
        <f>IF(AND(G560&gt;=4,G560&lt;=7),1,IF(AND(G560&gt;=3,G560&lt;=8),0.5,0))</f>
        <v>0.5</v>
      </c>
      <c r="O560">
        <f>IF(AND(F560&gt;=270,F560&lt;=310),1,IF(AND(F560&gt;=250,F560&lt;=330),0.5,0))</f>
        <v>0</v>
      </c>
      <c r="P560">
        <f>IF(AND(E560&gt;=0.8,E560&lt;=1.5),1,IF(AND(E560&gt;=0.5,E560&lt;=2),0.5,0))</f>
        <v>0</v>
      </c>
      <c r="Q560">
        <f>IF(AND(H560&gt;=5000,H560&lt;=6000),1,IF(AND(H560&gt;=4000,H560&lt;5000),0.5,0))</f>
        <v>0</v>
      </c>
      <c r="R560">
        <f>0.35*AVERAGE(L560:M560:N560)+0.3*O560+0.2*P560+0.15*Q560</f>
        <v>5.8333333333333327E-2</v>
      </c>
      <c r="S560" t="str">
        <f>LEFT(K560,1)</f>
        <v>F</v>
      </c>
      <c r="T560">
        <f>IF(S560="G",1,0)</f>
        <v>0</v>
      </c>
      <c r="U560">
        <f>IF(S560="K",1,0)</f>
        <v>0</v>
      </c>
      <c r="V560">
        <f>IF(S560="M",1,0)</f>
        <v>0</v>
      </c>
      <c r="W560">
        <f>IF(S560="F",1,0)</f>
        <v>1</v>
      </c>
    </row>
    <row r="561" spans="1:23" x14ac:dyDescent="0.3">
      <c r="A561" t="s">
        <v>173</v>
      </c>
      <c r="B561">
        <v>13.34989601</v>
      </c>
      <c r="C561">
        <v>330.54154327999998</v>
      </c>
      <c r="D561">
        <v>3.8922295</v>
      </c>
      <c r="E561">
        <v>5.2200000000000003E-2</v>
      </c>
      <c r="F561">
        <v>1585</v>
      </c>
      <c r="G561">
        <f>IF(OR(C561="",B561="",B561=0),"",5.51*(C561/(B561^3)))</f>
        <v>0.76549789549680125</v>
      </c>
      <c r="H561">
        <v>6060</v>
      </c>
      <c r="I561">
        <v>2.8324562354864877</v>
      </c>
      <c r="J561">
        <v>0.20799999999999999</v>
      </c>
      <c r="L561">
        <f>IF(AND(B561&gt;=0.8,B561&lt;=1.5),1,IF(AND(B561&gt;=0.5,B561&lt;=2),0.5,0))</f>
        <v>0</v>
      </c>
      <c r="M561">
        <f>IF(AND(C561&gt;=0.5,C561&lt;=2),1,IF(AND(C561&gt;=0.1,C561&lt;=5),0.5,0))</f>
        <v>0</v>
      </c>
      <c r="N561">
        <f>IF(AND(G561&gt;=4,G561&lt;=7),1,IF(AND(G561&gt;=3,G561&lt;=8),0.5,0))</f>
        <v>0</v>
      </c>
      <c r="O561">
        <f>IF(AND(F561&gt;=270,F561&lt;=310),1,IF(AND(F561&gt;=250,F561&lt;=330),0.5,0))</f>
        <v>0</v>
      </c>
      <c r="P561">
        <f>IF(AND(E561&gt;=0.8,E561&lt;=1.5),1,IF(AND(E561&gt;=0.5,E561&lt;=2),0.5,0))</f>
        <v>0</v>
      </c>
      <c r="Q561">
        <f>IF(AND(H561&gt;=5000,H561&lt;=6000),1,IF(AND(H561&gt;=4000,H561&lt;5000),0.5,0))</f>
        <v>0</v>
      </c>
      <c r="R561">
        <f>0.35*AVERAGE(L561:M561:N561)+0.3*O561+0.2*P561+0.15*Q561</f>
        <v>0</v>
      </c>
      <c r="S561" t="str">
        <f>LEFT(K561,1)</f>
        <v/>
      </c>
      <c r="T561">
        <f>IF(S561="G",1,0)</f>
        <v>0</v>
      </c>
      <c r="U561">
        <f>IF(S561="K",1,0)</f>
        <v>0</v>
      </c>
      <c r="V561">
        <f>IF(S561="M",1,0)</f>
        <v>0</v>
      </c>
      <c r="W561">
        <f>IF(S561="F",1,0)</f>
        <v>0</v>
      </c>
    </row>
    <row r="562" spans="1:23" x14ac:dyDescent="0.3">
      <c r="A562" t="s">
        <v>172</v>
      </c>
      <c r="B562">
        <v>11.54525012</v>
      </c>
      <c r="C562">
        <v>147.15455244</v>
      </c>
      <c r="D562">
        <v>1.2652327999999999</v>
      </c>
      <c r="E562">
        <v>1.5900000000000001E-2</v>
      </c>
      <c r="F562">
        <v>687</v>
      </c>
      <c r="G562">
        <f>IF(OR(C562="",B562="",B562=0),"",5.51*(C562/(B562^3)))</f>
        <v>0.52688430623178029</v>
      </c>
      <c r="H562">
        <v>3322</v>
      </c>
      <c r="I562">
        <v>1.3385187252115216E-2</v>
      </c>
      <c r="J562">
        <v>0.27</v>
      </c>
      <c r="K562" t="s">
        <v>146</v>
      </c>
      <c r="L562">
        <f>IF(AND(B562&gt;=0.8,B562&lt;=1.5),1,IF(AND(B562&gt;=0.5,B562&lt;=2),0.5,0))</f>
        <v>0</v>
      </c>
      <c r="M562">
        <f>IF(AND(C562&gt;=0.5,C562&lt;=2),1,IF(AND(C562&gt;=0.1,C562&lt;=5),0.5,0))</f>
        <v>0</v>
      </c>
      <c r="N562">
        <f>IF(AND(G562&gt;=4,G562&lt;=7),1,IF(AND(G562&gt;=3,G562&lt;=8),0.5,0))</f>
        <v>0</v>
      </c>
      <c r="O562">
        <f>IF(AND(F562&gt;=270,F562&lt;=310),1,IF(AND(F562&gt;=250,F562&lt;=330),0.5,0))</f>
        <v>0</v>
      </c>
      <c r="P562">
        <f>IF(AND(E562&gt;=0.8,E562&lt;=1.5),1,IF(AND(E562&gt;=0.5,E562&lt;=2),0.5,0))</f>
        <v>0</v>
      </c>
      <c r="Q562">
        <f>IF(AND(H562&gt;=5000,H562&lt;=6000),1,IF(AND(H562&gt;=4000,H562&lt;5000),0.5,0))</f>
        <v>0</v>
      </c>
      <c r="R562">
        <f>0.35*AVERAGE(L562:M562:N562)+0.3*O562+0.2*P562+0.15*Q562</f>
        <v>0</v>
      </c>
      <c r="S562" t="str">
        <f>LEFT(K562,1)</f>
        <v>M</v>
      </c>
      <c r="T562">
        <f>IF(S562="G",1,0)</f>
        <v>0</v>
      </c>
      <c r="U562">
        <f>IF(S562="K",1,0)</f>
        <v>0</v>
      </c>
      <c r="V562">
        <f>IF(S562="M",1,0)</f>
        <v>1</v>
      </c>
      <c r="W562">
        <f>IF(S562="F",1,0)</f>
        <v>0</v>
      </c>
    </row>
    <row r="563" spans="1:23" x14ac:dyDescent="0.3">
      <c r="A563" t="s">
        <v>171</v>
      </c>
      <c r="B563">
        <v>11.6</v>
      </c>
      <c r="C563">
        <v>343</v>
      </c>
      <c r="D563">
        <v>1.630757</v>
      </c>
      <c r="E563">
        <v>1.9900000000000001E-2</v>
      </c>
      <c r="F563">
        <v>737</v>
      </c>
      <c r="G563">
        <f>IF(OR(C563="",B563="",B563=0),"",5.51*(C563/(B563^3)))</f>
        <v>1.2107981569560049</v>
      </c>
      <c r="H563">
        <v>3430</v>
      </c>
      <c r="I563">
        <v>1.927785785972717E-2</v>
      </c>
      <c r="J563">
        <v>0</v>
      </c>
      <c r="K563" t="s">
        <v>170</v>
      </c>
      <c r="L563">
        <f>IF(AND(B563&gt;=0.8,B563&lt;=1.5),1,IF(AND(B563&gt;=0.5,B563&lt;=2),0.5,0))</f>
        <v>0</v>
      </c>
      <c r="M563">
        <f>IF(AND(C563&gt;=0.5,C563&lt;=2),1,IF(AND(C563&gt;=0.1,C563&lt;=5),0.5,0))</f>
        <v>0</v>
      </c>
      <c r="N563">
        <f>IF(AND(G563&gt;=4,G563&lt;=7),1,IF(AND(G563&gt;=3,G563&lt;=8),0.5,0))</f>
        <v>0</v>
      </c>
      <c r="O563">
        <f>IF(AND(F563&gt;=270,F563&lt;=310),1,IF(AND(F563&gt;=250,F563&lt;=330),0.5,0))</f>
        <v>0</v>
      </c>
      <c r="P563">
        <f>IF(AND(E563&gt;=0.8,E563&lt;=1.5),1,IF(AND(E563&gt;=0.5,E563&lt;=2),0.5,0))</f>
        <v>0</v>
      </c>
      <c r="Q563">
        <f>IF(AND(H563&gt;=5000,H563&lt;=6000),1,IF(AND(H563&gt;=4000,H563&lt;5000),0.5,0))</f>
        <v>0</v>
      </c>
      <c r="R563">
        <f>0.35*AVERAGE(L563:M563:N563)+0.3*O563+0.2*P563+0.15*Q563</f>
        <v>0</v>
      </c>
      <c r="S563" t="str">
        <f>LEFT(K563,1)</f>
        <v>M</v>
      </c>
      <c r="T563">
        <f>IF(S563="G",1,0)</f>
        <v>0</v>
      </c>
      <c r="U563">
        <f>IF(S563="K",1,0)</f>
        <v>0</v>
      </c>
      <c r="V563">
        <f>IF(S563="M",1,0)</f>
        <v>1</v>
      </c>
      <c r="W563">
        <f>IF(S563="F",1,0)</f>
        <v>0</v>
      </c>
    </row>
    <row r="564" spans="1:23" x14ac:dyDescent="0.3">
      <c r="A564" t="s">
        <v>169</v>
      </c>
      <c r="B564">
        <v>1.98</v>
      </c>
      <c r="C564">
        <v>5.3</v>
      </c>
      <c r="D564">
        <v>1.5428504700000001</v>
      </c>
      <c r="E564">
        <v>1.95E-2</v>
      </c>
      <c r="F564">
        <v>794</v>
      </c>
      <c r="G564">
        <f>IF(OR(C564="",B564="",B564=0),"",5.51*(C564/(B564^3)))</f>
        <v>3.7621135340755791</v>
      </c>
      <c r="H564">
        <v>3544</v>
      </c>
      <c r="I564">
        <v>2.508585424010961E-2</v>
      </c>
      <c r="J564">
        <v>-0.12</v>
      </c>
      <c r="K564" t="s">
        <v>10</v>
      </c>
      <c r="L564">
        <f>IF(AND(B564&gt;=0.8,B564&lt;=1.5),1,IF(AND(B564&gt;=0.5,B564&lt;=2),0.5,0))</f>
        <v>0.5</v>
      </c>
      <c r="M564">
        <f>IF(AND(C564&gt;=0.5,C564&lt;=2),1,IF(AND(C564&gt;=0.1,C564&lt;=5),0.5,0))</f>
        <v>0</v>
      </c>
      <c r="N564">
        <f>IF(AND(G564&gt;=4,G564&lt;=7),1,IF(AND(G564&gt;=3,G564&lt;=8),0.5,0))</f>
        <v>0.5</v>
      </c>
      <c r="O564">
        <f>IF(AND(F564&gt;=270,F564&lt;=310),1,IF(AND(F564&gt;=250,F564&lt;=330),0.5,0))</f>
        <v>0</v>
      </c>
      <c r="P564">
        <f>IF(AND(E564&gt;=0.8,E564&lt;=1.5),1,IF(AND(E564&gt;=0.5,E564&lt;=2),0.5,0))</f>
        <v>0</v>
      </c>
      <c r="Q564">
        <f>IF(AND(H564&gt;=5000,H564&lt;=6000),1,IF(AND(H564&gt;=4000,H564&lt;5000),0.5,0))</f>
        <v>0</v>
      </c>
      <c r="R564">
        <f>0.35*AVERAGE(L564:M564:N564)+0.3*O564+0.2*P564+0.15*Q564</f>
        <v>0.11666666666666665</v>
      </c>
      <c r="S564" t="str">
        <f>LEFT(K564,1)</f>
        <v>M</v>
      </c>
      <c r="T564">
        <f>IF(S564="G",1,0)</f>
        <v>0</v>
      </c>
      <c r="U564">
        <f>IF(S564="K",1,0)</f>
        <v>0</v>
      </c>
      <c r="V564">
        <f>IF(S564="M",1,0)</f>
        <v>1</v>
      </c>
      <c r="W564">
        <f>IF(S564="F",1,0)</f>
        <v>0</v>
      </c>
    </row>
    <row r="565" spans="1:23" x14ac:dyDescent="0.3">
      <c r="A565" t="s">
        <v>168</v>
      </c>
      <c r="B565">
        <v>10.726994530000001</v>
      </c>
      <c r="C565">
        <v>81.999729009999996</v>
      </c>
      <c r="D565">
        <v>4.5661060999999998</v>
      </c>
      <c r="E565">
        <v>5.57E-2</v>
      </c>
      <c r="F565">
        <v>1286</v>
      </c>
      <c r="G565">
        <f>IF(OR(C565="",B565="",B565=0),"",5.51*(C565/(B565^3)))</f>
        <v>0.36604108880284358</v>
      </c>
      <c r="H565">
        <v>5723</v>
      </c>
      <c r="I565">
        <v>1.4068164416199282</v>
      </c>
      <c r="J565">
        <v>0.32400000000000001</v>
      </c>
      <c r="L565">
        <f>IF(AND(B565&gt;=0.8,B565&lt;=1.5),1,IF(AND(B565&gt;=0.5,B565&lt;=2),0.5,0))</f>
        <v>0</v>
      </c>
      <c r="M565">
        <f>IF(AND(C565&gt;=0.5,C565&lt;=2),1,IF(AND(C565&gt;=0.1,C565&lt;=5),0.5,0))</f>
        <v>0</v>
      </c>
      <c r="N565">
        <f>IF(AND(G565&gt;=4,G565&lt;=7),1,IF(AND(G565&gt;=3,G565&lt;=8),0.5,0))</f>
        <v>0</v>
      </c>
      <c r="O565">
        <f>IF(AND(F565&gt;=270,F565&lt;=310),1,IF(AND(F565&gt;=250,F565&lt;=330),0.5,0))</f>
        <v>0</v>
      </c>
      <c r="P565">
        <f>IF(AND(E565&gt;=0.8,E565&lt;=1.5),1,IF(AND(E565&gt;=0.5,E565&lt;=2),0.5,0))</f>
        <v>0</v>
      </c>
      <c r="Q565">
        <f>IF(AND(H565&gt;=5000,H565&lt;=6000),1,IF(AND(H565&gt;=4000,H565&lt;5000),0.5,0))</f>
        <v>1</v>
      </c>
      <c r="R565">
        <f>0.35*AVERAGE(L565:M565:N565)+0.3*O565+0.2*P565+0.15*Q565</f>
        <v>0.15</v>
      </c>
      <c r="S565" t="str">
        <f>LEFT(K565,1)</f>
        <v/>
      </c>
      <c r="T565">
        <f>IF(S565="G",1,0)</f>
        <v>0</v>
      </c>
      <c r="U565">
        <f>IF(S565="K",1,0)</f>
        <v>0</v>
      </c>
      <c r="V565">
        <f>IF(S565="M",1,0)</f>
        <v>0</v>
      </c>
      <c r="W565">
        <f>IF(S565="F",1,0)</f>
        <v>0</v>
      </c>
    </row>
    <row r="566" spans="1:23" x14ac:dyDescent="0.3">
      <c r="A566" t="s">
        <v>167</v>
      </c>
      <c r="B566">
        <v>9.86</v>
      </c>
      <c r="C566">
        <v>657</v>
      </c>
      <c r="D566">
        <v>4.2914519999999996</v>
      </c>
      <c r="E566">
        <v>4.6899999999999997E-2</v>
      </c>
      <c r="F566">
        <v>783</v>
      </c>
      <c r="G566">
        <f>IF(OR(C566="",B566="",B566=0),"",5.51*(C566/(B566^3)))</f>
        <v>3.7764716047332993</v>
      </c>
      <c r="H566">
        <v>4230</v>
      </c>
      <c r="I566">
        <v>0.14398519365682563</v>
      </c>
      <c r="J566">
        <v>0.41</v>
      </c>
      <c r="L566">
        <f>IF(AND(B566&gt;=0.8,B566&lt;=1.5),1,IF(AND(B566&gt;=0.5,B566&lt;=2),0.5,0))</f>
        <v>0</v>
      </c>
      <c r="M566">
        <f>IF(AND(C566&gt;=0.5,C566&lt;=2),1,IF(AND(C566&gt;=0.1,C566&lt;=5),0.5,0))</f>
        <v>0</v>
      </c>
      <c r="N566">
        <f>IF(AND(G566&gt;=4,G566&lt;=7),1,IF(AND(G566&gt;=3,G566&lt;=8),0.5,0))</f>
        <v>0.5</v>
      </c>
      <c r="O566">
        <f>IF(AND(F566&gt;=270,F566&lt;=310),1,IF(AND(F566&gt;=250,F566&lt;=330),0.5,0))</f>
        <v>0</v>
      </c>
      <c r="P566">
        <f>IF(AND(E566&gt;=0.8,E566&lt;=1.5),1,IF(AND(E566&gt;=0.5,E566&lt;=2),0.5,0))</f>
        <v>0</v>
      </c>
      <c r="Q566">
        <f>IF(AND(H566&gt;=5000,H566&lt;=6000),1,IF(AND(H566&gt;=4000,H566&lt;5000),0.5,0))</f>
        <v>0.5</v>
      </c>
      <c r="R566">
        <f>0.35*AVERAGE(L566:M566:N566)+0.3*O566+0.2*P566+0.15*Q566</f>
        <v>0.13333333333333333</v>
      </c>
      <c r="S566" t="str">
        <f>LEFT(K566,1)</f>
        <v/>
      </c>
      <c r="T566">
        <f>IF(S566="G",1,0)</f>
        <v>0</v>
      </c>
      <c r="U566">
        <f>IF(S566="K",1,0)</f>
        <v>0</v>
      </c>
      <c r="V566">
        <f>IF(S566="M",1,0)</f>
        <v>0</v>
      </c>
      <c r="W566">
        <f>IF(S566="F",1,0)</f>
        <v>0</v>
      </c>
    </row>
    <row r="567" spans="1:23" x14ac:dyDescent="0.3">
      <c r="A567" t="s">
        <v>166</v>
      </c>
      <c r="B567">
        <v>12.778238</v>
      </c>
      <c r="C567">
        <v>743.71847237999998</v>
      </c>
      <c r="D567">
        <v>4.0966692</v>
      </c>
      <c r="E567">
        <v>5.5930000000000001E-2</v>
      </c>
      <c r="F567">
        <v>1772</v>
      </c>
      <c r="G567">
        <f>IF(OR(C567="",B567="",B567=0),"",5.51*(C567/(B567^3)))</f>
        <v>1.9640260738588473</v>
      </c>
      <c r="H567">
        <v>6500</v>
      </c>
      <c r="I567">
        <v>5.1029312518854972</v>
      </c>
      <c r="J567">
        <v>-0.104</v>
      </c>
      <c r="L567">
        <f>IF(AND(B567&gt;=0.8,B567&lt;=1.5),1,IF(AND(B567&gt;=0.5,B567&lt;=2),0.5,0))</f>
        <v>0</v>
      </c>
      <c r="M567">
        <f>IF(AND(C567&gt;=0.5,C567&lt;=2),1,IF(AND(C567&gt;=0.1,C567&lt;=5),0.5,0))</f>
        <v>0</v>
      </c>
      <c r="N567">
        <f>IF(AND(G567&gt;=4,G567&lt;=7),1,IF(AND(G567&gt;=3,G567&lt;=8),0.5,0))</f>
        <v>0</v>
      </c>
      <c r="O567">
        <f>IF(AND(F567&gt;=270,F567&lt;=310),1,IF(AND(F567&gt;=250,F567&lt;=330),0.5,0))</f>
        <v>0</v>
      </c>
      <c r="P567">
        <f>IF(AND(E567&gt;=0.8,E567&lt;=1.5),1,IF(AND(E567&gt;=0.5,E567&lt;=2),0.5,0))</f>
        <v>0</v>
      </c>
      <c r="Q567">
        <f>IF(AND(H567&gt;=5000,H567&lt;=6000),1,IF(AND(H567&gt;=4000,H567&lt;5000),0.5,0))</f>
        <v>0</v>
      </c>
      <c r="R567">
        <f>0.35*AVERAGE(L567:M567:N567)+0.3*O567+0.2*P567+0.15*Q567</f>
        <v>0</v>
      </c>
      <c r="S567" t="str">
        <f>LEFT(K567,1)</f>
        <v/>
      </c>
      <c r="T567">
        <f>IF(S567="G",1,0)</f>
        <v>0</v>
      </c>
      <c r="U567">
        <f>IF(S567="K",1,0)</f>
        <v>0</v>
      </c>
      <c r="V567">
        <f>IF(S567="M",1,0)</f>
        <v>0</v>
      </c>
      <c r="W567">
        <f>IF(S567="F",1,0)</f>
        <v>0</v>
      </c>
    </row>
    <row r="568" spans="1:23" x14ac:dyDescent="0.3">
      <c r="A568" t="s">
        <v>165</v>
      </c>
      <c r="B568">
        <v>11.60129502</v>
      </c>
      <c r="C568">
        <v>3651.8483964299999</v>
      </c>
      <c r="D568">
        <v>4.1509767999999996</v>
      </c>
      <c r="E568">
        <v>5.1339999999999997E-2</v>
      </c>
      <c r="F568">
        <v>1244</v>
      </c>
      <c r="G568">
        <f>IF(OR(C568="",B568="",B568=0),"",5.51*(C568/(B568^3)))</f>
        <v>12.886795170816169</v>
      </c>
      <c r="H568">
        <v>5790</v>
      </c>
      <c r="I568">
        <v>1.0511279613991509</v>
      </c>
      <c r="J568">
        <v>0.254</v>
      </c>
      <c r="L568">
        <f>IF(AND(B568&gt;=0.8,B568&lt;=1.5),1,IF(AND(B568&gt;=0.5,B568&lt;=2),0.5,0))</f>
        <v>0</v>
      </c>
      <c r="M568">
        <f>IF(AND(C568&gt;=0.5,C568&lt;=2),1,IF(AND(C568&gt;=0.1,C568&lt;=5),0.5,0))</f>
        <v>0</v>
      </c>
      <c r="N568">
        <f>IF(AND(G568&gt;=4,G568&lt;=7),1,IF(AND(G568&gt;=3,G568&lt;=8),0.5,0))</f>
        <v>0</v>
      </c>
      <c r="O568">
        <f>IF(AND(F568&gt;=270,F568&lt;=310),1,IF(AND(F568&gt;=250,F568&lt;=330),0.5,0))</f>
        <v>0</v>
      </c>
      <c r="P568">
        <f>IF(AND(E568&gt;=0.8,E568&lt;=1.5),1,IF(AND(E568&gt;=0.5,E568&lt;=2),0.5,0))</f>
        <v>0</v>
      </c>
      <c r="Q568">
        <f>IF(AND(H568&gt;=5000,H568&lt;=6000),1,IF(AND(H568&gt;=4000,H568&lt;5000),0.5,0))</f>
        <v>1</v>
      </c>
      <c r="R568">
        <f>0.35*AVERAGE(L568:M568:N568)+0.3*O568+0.2*P568+0.15*Q568</f>
        <v>0.15</v>
      </c>
      <c r="S568" t="str">
        <f>LEFT(K568,1)</f>
        <v/>
      </c>
      <c r="T568">
        <f>IF(S568="G",1,0)</f>
        <v>0</v>
      </c>
      <c r="U568">
        <f>IF(S568="K",1,0)</f>
        <v>0</v>
      </c>
      <c r="V568">
        <f>IF(S568="M",1,0)</f>
        <v>0</v>
      </c>
      <c r="W568">
        <f>IF(S568="F",1,0)</f>
        <v>0</v>
      </c>
    </row>
    <row r="569" spans="1:23" x14ac:dyDescent="0.3">
      <c r="A569" t="s">
        <v>164</v>
      </c>
      <c r="B569">
        <v>11.9</v>
      </c>
      <c r="C569">
        <v>170.4</v>
      </c>
      <c r="D569">
        <v>2.9302890000000001</v>
      </c>
      <c r="E569">
        <v>3.4000000000000002E-2</v>
      </c>
      <c r="F569">
        <v>675</v>
      </c>
      <c r="G569">
        <f>IF(OR(C569="",B569="",B569=0),"",5.51*(C569/(B569^3)))</f>
        <v>0.55716048159253806</v>
      </c>
      <c r="H569">
        <v>3586</v>
      </c>
      <c r="I569">
        <v>4.0117852579534589E-2</v>
      </c>
      <c r="J569">
        <v>-0.03</v>
      </c>
      <c r="K569" t="s">
        <v>163</v>
      </c>
      <c r="L569">
        <f>IF(AND(B569&gt;=0.8,B569&lt;=1.5),1,IF(AND(B569&gt;=0.5,B569&lt;=2),0.5,0))</f>
        <v>0</v>
      </c>
      <c r="M569">
        <f>IF(AND(C569&gt;=0.5,C569&lt;=2),1,IF(AND(C569&gt;=0.1,C569&lt;=5),0.5,0))</f>
        <v>0</v>
      </c>
      <c r="N569">
        <f>IF(AND(G569&gt;=4,G569&lt;=7),1,IF(AND(G569&gt;=3,G569&lt;=8),0.5,0))</f>
        <v>0</v>
      </c>
      <c r="O569">
        <f>IF(AND(F569&gt;=270,F569&lt;=310),1,IF(AND(F569&gt;=250,F569&lt;=330),0.5,0))</f>
        <v>0</v>
      </c>
      <c r="P569">
        <f>IF(AND(E569&gt;=0.8,E569&lt;=1.5),1,IF(AND(E569&gt;=0.5,E569&lt;=2),0.5,0))</f>
        <v>0</v>
      </c>
      <c r="Q569">
        <f>IF(AND(H569&gt;=5000,H569&lt;=6000),1,IF(AND(H569&gt;=4000,H569&lt;5000),0.5,0))</f>
        <v>0</v>
      </c>
      <c r="R569">
        <f>0.35*AVERAGE(L569:M569:N569)+0.3*O569+0.2*P569+0.15*Q569</f>
        <v>0</v>
      </c>
      <c r="S569" t="str">
        <f>LEFT(K569,1)</f>
        <v>M</v>
      </c>
      <c r="T569">
        <f>IF(S569="G",1,0)</f>
        <v>0</v>
      </c>
      <c r="U569">
        <f>IF(S569="K",1,0)</f>
        <v>0</v>
      </c>
      <c r="V569">
        <f>IF(S569="M",1,0)</f>
        <v>1</v>
      </c>
      <c r="W569">
        <f>IF(S569="F",1,0)</f>
        <v>0</v>
      </c>
    </row>
    <row r="570" spans="1:23" x14ac:dyDescent="0.3">
      <c r="A570" t="s">
        <v>162</v>
      </c>
      <c r="B570">
        <v>9.3034539800000005</v>
      </c>
      <c r="C570">
        <v>127.13136280000001</v>
      </c>
      <c r="D570">
        <v>6.3875970000000004</v>
      </c>
      <c r="E570">
        <v>5.1999999999999998E-2</v>
      </c>
      <c r="F570">
        <v>565</v>
      </c>
      <c r="G570">
        <f>IF(OR(C570="",B570="",B570=0),"",5.51*(C570/(B570^3)))</f>
        <v>0.86990466576489445</v>
      </c>
      <c r="H570">
        <v>3659</v>
      </c>
      <c r="I570">
        <v>4.689505046588005E-2</v>
      </c>
      <c r="J570">
        <v>0.376</v>
      </c>
      <c r="K570" t="s">
        <v>161</v>
      </c>
      <c r="L570">
        <f>IF(AND(B570&gt;=0.8,B570&lt;=1.5),1,IF(AND(B570&gt;=0.5,B570&lt;=2),0.5,0))</f>
        <v>0</v>
      </c>
      <c r="M570">
        <f>IF(AND(C570&gt;=0.5,C570&lt;=2),1,IF(AND(C570&gt;=0.1,C570&lt;=5),0.5,0))</f>
        <v>0</v>
      </c>
      <c r="N570">
        <f>IF(AND(G570&gt;=4,G570&lt;=7),1,IF(AND(G570&gt;=3,G570&lt;=8),0.5,0))</f>
        <v>0</v>
      </c>
      <c r="O570">
        <f>IF(AND(F570&gt;=270,F570&lt;=310),1,IF(AND(F570&gt;=250,F570&lt;=330),0.5,0))</f>
        <v>0</v>
      </c>
      <c r="P570">
        <f>IF(AND(E570&gt;=0.8,E570&lt;=1.5),1,IF(AND(E570&gt;=0.5,E570&lt;=2),0.5,0))</f>
        <v>0</v>
      </c>
      <c r="Q570">
        <f>IF(AND(H570&gt;=5000,H570&lt;=6000),1,IF(AND(H570&gt;=4000,H570&lt;5000),0.5,0))</f>
        <v>0</v>
      </c>
      <c r="R570">
        <f>0.35*AVERAGE(L570:M570:N570)+0.3*O570+0.2*P570+0.15*Q570</f>
        <v>0</v>
      </c>
      <c r="S570" t="str">
        <f>LEFT(K570,1)</f>
        <v>M</v>
      </c>
      <c r="T570">
        <f>IF(S570="G",1,0)</f>
        <v>0</v>
      </c>
      <c r="U570">
        <f>IF(S570="K",1,0)</f>
        <v>0</v>
      </c>
      <c r="V570">
        <f>IF(S570="M",1,0)</f>
        <v>1</v>
      </c>
      <c r="W570">
        <f>IF(S570="F",1,0)</f>
        <v>0</v>
      </c>
    </row>
    <row r="571" spans="1:23" x14ac:dyDescent="0.3">
      <c r="A571" t="s">
        <v>160</v>
      </c>
      <c r="B571">
        <v>9.8639030200000004</v>
      </c>
      <c r="C571">
        <v>190.69704419999999</v>
      </c>
      <c r="D571">
        <v>2.2621959999999999</v>
      </c>
      <c r="E571">
        <v>2.9499999999999998E-2</v>
      </c>
      <c r="F571">
        <v>1043</v>
      </c>
      <c r="G571">
        <f>IF(OR(C571="",B571="",B571=0),"",5.51*(C571/(B571^3)))</f>
        <v>1.0948362772605564</v>
      </c>
      <c r="H571">
        <v>4610</v>
      </c>
      <c r="I571">
        <v>0.17120650622826339</v>
      </c>
      <c r="J571">
        <v>-0.17</v>
      </c>
      <c r="K571" t="s">
        <v>4</v>
      </c>
      <c r="L571">
        <f>IF(AND(B571&gt;=0.8,B571&lt;=1.5),1,IF(AND(B571&gt;=0.5,B571&lt;=2),0.5,0))</f>
        <v>0</v>
      </c>
      <c r="M571">
        <f>IF(AND(C571&gt;=0.5,C571&lt;=2),1,IF(AND(C571&gt;=0.1,C571&lt;=5),0.5,0))</f>
        <v>0</v>
      </c>
      <c r="N571">
        <f>IF(AND(G571&gt;=4,G571&lt;=7),1,IF(AND(G571&gt;=3,G571&lt;=8),0.5,0))</f>
        <v>0</v>
      </c>
      <c r="O571">
        <f>IF(AND(F571&gt;=270,F571&lt;=310),1,IF(AND(F571&gt;=250,F571&lt;=330),0.5,0))</f>
        <v>0</v>
      </c>
      <c r="P571">
        <f>IF(AND(E571&gt;=0.8,E571&lt;=1.5),1,IF(AND(E571&gt;=0.5,E571&lt;=2),0.5,0))</f>
        <v>0</v>
      </c>
      <c r="Q571">
        <f>IF(AND(H571&gt;=5000,H571&lt;=6000),1,IF(AND(H571&gt;=4000,H571&lt;5000),0.5,0))</f>
        <v>0.5</v>
      </c>
      <c r="R571">
        <f>0.35*AVERAGE(L571:M571:N571)+0.3*O571+0.2*P571+0.15*Q571</f>
        <v>7.4999999999999997E-2</v>
      </c>
      <c r="S571" t="str">
        <f>LEFT(K571,1)</f>
        <v>K</v>
      </c>
      <c r="T571">
        <f>IF(S571="G",1,0)</f>
        <v>0</v>
      </c>
      <c r="U571">
        <f>IF(S571="K",1,0)</f>
        <v>1</v>
      </c>
      <c r="V571">
        <f>IF(S571="M",1,0)</f>
        <v>0</v>
      </c>
      <c r="W571">
        <f>IF(S571="F",1,0)</f>
        <v>0</v>
      </c>
    </row>
    <row r="572" spans="1:23" x14ac:dyDescent="0.3">
      <c r="A572" t="s">
        <v>159</v>
      </c>
      <c r="B572">
        <v>13.09208946</v>
      </c>
      <c r="C572">
        <v>1182.3216740400001</v>
      </c>
      <c r="D572">
        <v>5.8588579999999997</v>
      </c>
      <c r="E572">
        <v>7.2999999999999995E-2</v>
      </c>
      <c r="F572">
        <v>1648</v>
      </c>
      <c r="G572">
        <f>IF(OR(C572="",B572="",B572=0),"",5.51*(C572/(B572^3)))</f>
        <v>2.9030890466329971</v>
      </c>
      <c r="H572">
        <v>6240</v>
      </c>
      <c r="I572">
        <v>6.5240373450957678</v>
      </c>
      <c r="J572">
        <v>0.03</v>
      </c>
      <c r="L572">
        <f>IF(AND(B572&gt;=0.8,B572&lt;=1.5),1,IF(AND(B572&gt;=0.5,B572&lt;=2),0.5,0))</f>
        <v>0</v>
      </c>
      <c r="M572">
        <f>IF(AND(C572&gt;=0.5,C572&lt;=2),1,IF(AND(C572&gt;=0.1,C572&lt;=5),0.5,0))</f>
        <v>0</v>
      </c>
      <c r="N572">
        <f>IF(AND(G572&gt;=4,G572&lt;=7),1,IF(AND(G572&gt;=3,G572&lt;=8),0.5,0))</f>
        <v>0</v>
      </c>
      <c r="O572">
        <f>IF(AND(F572&gt;=270,F572&lt;=310),1,IF(AND(F572&gt;=250,F572&lt;=330),0.5,0))</f>
        <v>0</v>
      </c>
      <c r="P572">
        <f>IF(AND(E572&gt;=0.8,E572&lt;=1.5),1,IF(AND(E572&gt;=0.5,E572&lt;=2),0.5,0))</f>
        <v>0</v>
      </c>
      <c r="Q572">
        <f>IF(AND(H572&gt;=5000,H572&lt;=6000),1,IF(AND(H572&gt;=4000,H572&lt;5000),0.5,0))</f>
        <v>0</v>
      </c>
      <c r="R572">
        <f>0.35*AVERAGE(L572:M572:N572)+0.3*O572+0.2*P572+0.15*Q572</f>
        <v>0</v>
      </c>
      <c r="S572" t="str">
        <f>LEFT(K572,1)</f>
        <v/>
      </c>
      <c r="T572">
        <f>IF(S572="G",1,0)</f>
        <v>0</v>
      </c>
      <c r="U572">
        <f>IF(S572="K",1,0)</f>
        <v>0</v>
      </c>
      <c r="V572">
        <f>IF(S572="M",1,0)</f>
        <v>0</v>
      </c>
      <c r="W572">
        <f>IF(S572="F",1,0)</f>
        <v>0</v>
      </c>
    </row>
    <row r="573" spans="1:23" x14ac:dyDescent="0.3">
      <c r="A573" t="s">
        <v>158</v>
      </c>
      <c r="B573">
        <v>2.83</v>
      </c>
      <c r="D573">
        <v>4.0785299999999998</v>
      </c>
      <c r="E573">
        <v>5.0599999999999999E-2</v>
      </c>
      <c r="F573">
        <v>695</v>
      </c>
      <c r="G573" t="str">
        <f>IF(OR(C573="",B573="",B573=0),"",5.51*(C573/(B573^3)))</f>
        <v/>
      </c>
      <c r="H573">
        <v>3580</v>
      </c>
      <c r="I573">
        <v>3.4666135781717733E-2</v>
      </c>
      <c r="K573" t="s">
        <v>157</v>
      </c>
      <c r="L573">
        <f>IF(AND(B573&gt;=0.8,B573&lt;=1.5),1,IF(AND(B573&gt;=0.5,B573&lt;=2),0.5,0))</f>
        <v>0</v>
      </c>
      <c r="M573">
        <f>IF(AND(C573&gt;=0.5,C573&lt;=2),1,IF(AND(C573&gt;=0.1,C573&lt;=5),0.5,0))</f>
        <v>0</v>
      </c>
      <c r="N573">
        <f>IF(AND(G573&gt;=4,G573&lt;=7),1,IF(AND(G573&gt;=3,G573&lt;=8),0.5,0))</f>
        <v>0</v>
      </c>
      <c r="O573">
        <f>IF(AND(F573&gt;=270,F573&lt;=310),1,IF(AND(F573&gt;=250,F573&lt;=330),0.5,0))</f>
        <v>0</v>
      </c>
      <c r="P573">
        <f>IF(AND(E573&gt;=0.8,E573&lt;=1.5),1,IF(AND(E573&gt;=0.5,E573&lt;=2),0.5,0))</f>
        <v>0</v>
      </c>
      <c r="Q573">
        <f>IF(AND(H573&gt;=5000,H573&lt;=6000),1,IF(AND(H573&gt;=4000,H573&lt;5000),0.5,0))</f>
        <v>0</v>
      </c>
      <c r="R573">
        <f>0.35*AVERAGE(L573:M573:N573)+0.3*O573+0.2*P573+0.15*Q573</f>
        <v>0</v>
      </c>
      <c r="S573" t="str">
        <f>LEFT(K573,1)</f>
        <v>M</v>
      </c>
      <c r="T573">
        <f>IF(S573="G",1,0)</f>
        <v>0</v>
      </c>
      <c r="U573">
        <f>IF(S573="K",1,0)</f>
        <v>0</v>
      </c>
      <c r="V573">
        <f>IF(S573="M",1,0)</f>
        <v>1</v>
      </c>
      <c r="W573">
        <f>IF(S573="F",1,0)</f>
        <v>0</v>
      </c>
    </row>
    <row r="574" spans="1:23" x14ac:dyDescent="0.3">
      <c r="A574" t="s">
        <v>156</v>
      </c>
      <c r="B574">
        <v>5.82</v>
      </c>
      <c r="C574">
        <v>61.5</v>
      </c>
      <c r="D574">
        <v>2.3266507999999999</v>
      </c>
      <c r="E574">
        <v>2.9600000000000001E-2</v>
      </c>
      <c r="F574">
        <v>867</v>
      </c>
      <c r="G574">
        <f>IF(OR(C574="",B574="",B574=0),"",5.51*(C574/(B574^3)))</f>
        <v>1.7189282957252423</v>
      </c>
      <c r="H574">
        <v>3927</v>
      </c>
      <c r="I574">
        <v>7.9916471282994075E-2</v>
      </c>
      <c r="J574">
        <v>0.33800000000000002</v>
      </c>
      <c r="L574">
        <f>IF(AND(B574&gt;=0.8,B574&lt;=1.5),1,IF(AND(B574&gt;=0.5,B574&lt;=2),0.5,0))</f>
        <v>0</v>
      </c>
      <c r="M574">
        <f>IF(AND(C574&gt;=0.5,C574&lt;=2),1,IF(AND(C574&gt;=0.1,C574&lt;=5),0.5,0))</f>
        <v>0</v>
      </c>
      <c r="N574">
        <f>IF(AND(G574&gt;=4,G574&lt;=7),1,IF(AND(G574&gt;=3,G574&lt;=8),0.5,0))</f>
        <v>0</v>
      </c>
      <c r="O574">
        <f>IF(AND(F574&gt;=270,F574&lt;=310),1,IF(AND(F574&gt;=250,F574&lt;=330),0.5,0))</f>
        <v>0</v>
      </c>
      <c r="P574">
        <f>IF(AND(E574&gt;=0.8,E574&lt;=1.5),1,IF(AND(E574&gt;=0.5,E574&lt;=2),0.5,0))</f>
        <v>0</v>
      </c>
      <c r="Q574">
        <f>IF(AND(H574&gt;=5000,H574&lt;=6000),1,IF(AND(H574&gt;=4000,H574&lt;5000),0.5,0))</f>
        <v>0</v>
      </c>
      <c r="R574">
        <f>0.35*AVERAGE(L574:M574:N574)+0.3*O574+0.2*P574+0.15*Q574</f>
        <v>0</v>
      </c>
      <c r="S574" t="str">
        <f>LEFT(K574,1)</f>
        <v/>
      </c>
      <c r="T574">
        <f>IF(S574="G",1,0)</f>
        <v>0</v>
      </c>
      <c r="U574">
        <f>IF(S574="K",1,0)</f>
        <v>0</v>
      </c>
      <c r="V574">
        <f>IF(S574="M",1,0)</f>
        <v>0</v>
      </c>
      <c r="W574">
        <f>IF(S574="F",1,0)</f>
        <v>0</v>
      </c>
    </row>
    <row r="575" spans="1:23" x14ac:dyDescent="0.3">
      <c r="A575" t="s">
        <v>155</v>
      </c>
      <c r="B575">
        <v>16.611709399999999</v>
      </c>
      <c r="C575">
        <v>184.02264765000001</v>
      </c>
      <c r="D575">
        <v>5.4233206999999997</v>
      </c>
      <c r="E575">
        <v>6.0400000000000002E-2</v>
      </c>
      <c r="F575">
        <v>1350</v>
      </c>
      <c r="G575">
        <f>IF(OR(C575="",B575="",B575=0),"",5.51*(C575/(B575^3)))</f>
        <v>0.22119733917380241</v>
      </c>
      <c r="H575">
        <v>5692</v>
      </c>
      <c r="I575">
        <v>2.0130017890178453</v>
      </c>
      <c r="J575">
        <v>-4.8000000000000001E-2</v>
      </c>
      <c r="L575">
        <f>IF(AND(B575&gt;=0.8,B575&lt;=1.5),1,IF(AND(B575&gt;=0.5,B575&lt;=2),0.5,0))</f>
        <v>0</v>
      </c>
      <c r="M575">
        <f>IF(AND(C575&gt;=0.5,C575&lt;=2),1,IF(AND(C575&gt;=0.1,C575&lt;=5),0.5,0))</f>
        <v>0</v>
      </c>
      <c r="N575">
        <f>IF(AND(G575&gt;=4,G575&lt;=7),1,IF(AND(G575&gt;=3,G575&lt;=8),0.5,0))</f>
        <v>0</v>
      </c>
      <c r="O575">
        <f>IF(AND(F575&gt;=270,F575&lt;=310),1,IF(AND(F575&gt;=250,F575&lt;=330),0.5,0))</f>
        <v>0</v>
      </c>
      <c r="P575">
        <f>IF(AND(E575&gt;=0.8,E575&lt;=1.5),1,IF(AND(E575&gt;=0.5,E575&lt;=2),0.5,0))</f>
        <v>0</v>
      </c>
      <c r="Q575">
        <f>IF(AND(H575&gt;=5000,H575&lt;=6000),1,IF(AND(H575&gt;=4000,H575&lt;5000),0.5,0))</f>
        <v>1</v>
      </c>
      <c r="R575">
        <f>0.35*AVERAGE(L575:M575:N575)+0.3*O575+0.2*P575+0.15*Q575</f>
        <v>0.15</v>
      </c>
      <c r="S575" t="str">
        <f>LEFT(K575,1)</f>
        <v/>
      </c>
      <c r="T575">
        <f>IF(S575="G",1,0)</f>
        <v>0</v>
      </c>
      <c r="U575">
        <f>IF(S575="K",1,0)</f>
        <v>0</v>
      </c>
      <c r="V575">
        <f>IF(S575="M",1,0)</f>
        <v>0</v>
      </c>
      <c r="W575">
        <f>IF(S575="F",1,0)</f>
        <v>0</v>
      </c>
    </row>
    <row r="576" spans="1:23" x14ac:dyDescent="0.3">
      <c r="A576" t="s">
        <v>154</v>
      </c>
      <c r="B576">
        <v>15.07607904</v>
      </c>
      <c r="C576">
        <v>270.15414594999999</v>
      </c>
      <c r="D576">
        <v>4.9394391999999998</v>
      </c>
      <c r="E576">
        <v>6.2799999999999995E-2</v>
      </c>
      <c r="F576">
        <v>1566</v>
      </c>
      <c r="G576">
        <f>IF(OR(C576="",B576="",B576=0),"",5.51*(C576/(B576^3)))</f>
        <v>0.43440820418217924</v>
      </c>
      <c r="H576">
        <v>5990</v>
      </c>
      <c r="I576">
        <v>3.9190101768018484</v>
      </c>
      <c r="J576">
        <v>0.20799999999999999</v>
      </c>
      <c r="L576">
        <f>IF(AND(B576&gt;=0.8,B576&lt;=1.5),1,IF(AND(B576&gt;=0.5,B576&lt;=2),0.5,0))</f>
        <v>0</v>
      </c>
      <c r="M576">
        <f>IF(AND(C576&gt;=0.5,C576&lt;=2),1,IF(AND(C576&gt;=0.1,C576&lt;=5),0.5,0))</f>
        <v>0</v>
      </c>
      <c r="N576">
        <f>IF(AND(G576&gt;=4,G576&lt;=7),1,IF(AND(G576&gt;=3,G576&lt;=8),0.5,0))</f>
        <v>0</v>
      </c>
      <c r="O576">
        <f>IF(AND(F576&gt;=270,F576&lt;=310),1,IF(AND(F576&gt;=250,F576&lt;=330),0.5,0))</f>
        <v>0</v>
      </c>
      <c r="P576">
        <f>IF(AND(E576&gt;=0.8,E576&lt;=1.5),1,IF(AND(E576&gt;=0.5,E576&lt;=2),0.5,0))</f>
        <v>0</v>
      </c>
      <c r="Q576">
        <f>IF(AND(H576&gt;=5000,H576&lt;=6000),1,IF(AND(H576&gt;=4000,H576&lt;5000),0.5,0))</f>
        <v>1</v>
      </c>
      <c r="R576">
        <f>0.35*AVERAGE(L576:M576:N576)+0.3*O576+0.2*P576+0.15*Q576</f>
        <v>0.15</v>
      </c>
      <c r="S576" t="str">
        <f>LEFT(K576,1)</f>
        <v/>
      </c>
      <c r="T576">
        <f>IF(S576="G",1,0)</f>
        <v>0</v>
      </c>
      <c r="U576">
        <f>IF(S576="K",1,0)</f>
        <v>0</v>
      </c>
      <c r="V576">
        <f>IF(S576="M",1,0)</f>
        <v>0</v>
      </c>
      <c r="W576">
        <f>IF(S576="F",1,0)</f>
        <v>0</v>
      </c>
    </row>
    <row r="577" spans="1:23" x14ac:dyDescent="0.3">
      <c r="A577" t="s">
        <v>153</v>
      </c>
      <c r="B577">
        <v>10.603695739999999</v>
      </c>
      <c r="C577">
        <v>130.94530367999999</v>
      </c>
      <c r="D577">
        <v>3.7926220000000002</v>
      </c>
      <c r="E577">
        <v>4.0410000000000001E-2</v>
      </c>
      <c r="F577">
        <v>689</v>
      </c>
      <c r="G577">
        <f>IF(OR(C577="",B577="",B577=0),"",5.51*(C577/(B577^3)))</f>
        <v>0.60515935726861392</v>
      </c>
      <c r="H577">
        <v>3747</v>
      </c>
      <c r="I577">
        <v>6.1147580082616053E-2</v>
      </c>
      <c r="J577">
        <v>0.42499999999999999</v>
      </c>
      <c r="L577">
        <f>IF(AND(B577&gt;=0.8,B577&lt;=1.5),1,IF(AND(B577&gt;=0.5,B577&lt;=2),0.5,0))</f>
        <v>0</v>
      </c>
      <c r="M577">
        <f>IF(AND(C577&gt;=0.5,C577&lt;=2),1,IF(AND(C577&gt;=0.1,C577&lt;=5),0.5,0))</f>
        <v>0</v>
      </c>
      <c r="N577">
        <f>IF(AND(G577&gt;=4,G577&lt;=7),1,IF(AND(G577&gt;=3,G577&lt;=8),0.5,0))</f>
        <v>0</v>
      </c>
      <c r="O577">
        <f>IF(AND(F577&gt;=270,F577&lt;=310),1,IF(AND(F577&gt;=250,F577&lt;=330),0.5,0))</f>
        <v>0</v>
      </c>
      <c r="P577">
        <f>IF(AND(E577&gt;=0.8,E577&lt;=1.5),1,IF(AND(E577&gt;=0.5,E577&lt;=2),0.5,0))</f>
        <v>0</v>
      </c>
      <c r="Q577">
        <f>IF(AND(H577&gt;=5000,H577&lt;=6000),1,IF(AND(H577&gt;=4000,H577&lt;5000),0.5,0))</f>
        <v>0</v>
      </c>
      <c r="R577">
        <f>0.35*AVERAGE(L577:M577:N577)+0.3*O577+0.2*P577+0.15*Q577</f>
        <v>0</v>
      </c>
      <c r="S577" t="str">
        <f>LEFT(K577,1)</f>
        <v/>
      </c>
      <c r="T577">
        <f>IF(S577="G",1,0)</f>
        <v>0</v>
      </c>
      <c r="U577">
        <f>IF(S577="K",1,0)</f>
        <v>0</v>
      </c>
      <c r="V577">
        <f>IF(S577="M",1,0)</f>
        <v>0</v>
      </c>
      <c r="W577">
        <f>IF(S577="F",1,0)</f>
        <v>0</v>
      </c>
    </row>
    <row r="578" spans="1:23" x14ac:dyDescent="0.3">
      <c r="A578" t="s">
        <v>152</v>
      </c>
      <c r="B578">
        <v>12.419550620000001</v>
      </c>
      <c r="C578">
        <v>2094.4892021300002</v>
      </c>
      <c r="D578">
        <v>7.5813670000000002</v>
      </c>
      <c r="E578">
        <v>7.9600000000000004E-2</v>
      </c>
      <c r="F578">
        <v>1195</v>
      </c>
      <c r="G578">
        <f>IF(OR(C578="",B578="",B578=0),"",5.51*(C578/(B578^3)))</f>
        <v>6.0243761264320081</v>
      </c>
      <c r="H578">
        <v>6220</v>
      </c>
      <c r="I578">
        <v>2.1421905041122211</v>
      </c>
      <c r="J578">
        <v>4.3999999999999997E-2</v>
      </c>
      <c r="L578">
        <f>IF(AND(B578&gt;=0.8,B578&lt;=1.5),1,IF(AND(B578&gt;=0.5,B578&lt;=2),0.5,0))</f>
        <v>0</v>
      </c>
      <c r="M578">
        <f>IF(AND(C578&gt;=0.5,C578&lt;=2),1,IF(AND(C578&gt;=0.1,C578&lt;=5),0.5,0))</f>
        <v>0</v>
      </c>
      <c r="N578">
        <f>IF(AND(G578&gt;=4,G578&lt;=7),1,IF(AND(G578&gt;=3,G578&lt;=8),0.5,0))</f>
        <v>1</v>
      </c>
      <c r="O578">
        <f>IF(AND(F578&gt;=270,F578&lt;=310),1,IF(AND(F578&gt;=250,F578&lt;=330),0.5,0))</f>
        <v>0</v>
      </c>
      <c r="P578">
        <f>IF(AND(E578&gt;=0.8,E578&lt;=1.5),1,IF(AND(E578&gt;=0.5,E578&lt;=2),0.5,0))</f>
        <v>0</v>
      </c>
      <c r="Q578">
        <f>IF(AND(H578&gt;=5000,H578&lt;=6000),1,IF(AND(H578&gt;=4000,H578&lt;5000),0.5,0))</f>
        <v>0</v>
      </c>
      <c r="R578">
        <f>0.35*AVERAGE(L578:M578:N578)+0.3*O578+0.2*P578+0.15*Q578</f>
        <v>0.11666666666666665</v>
      </c>
      <c r="S578" t="str">
        <f>LEFT(K578,1)</f>
        <v/>
      </c>
      <c r="T578">
        <f>IF(S578="G",1,0)</f>
        <v>0</v>
      </c>
      <c r="U578">
        <f>IF(S578="K",1,0)</f>
        <v>0</v>
      </c>
      <c r="V578">
        <f>IF(S578="M",1,0)</f>
        <v>0</v>
      </c>
      <c r="W578">
        <f>IF(S578="F",1,0)</f>
        <v>0</v>
      </c>
    </row>
    <row r="579" spans="1:23" x14ac:dyDescent="0.3">
      <c r="A579" t="s">
        <v>151</v>
      </c>
      <c r="B579">
        <v>14.70618268</v>
      </c>
      <c r="C579">
        <v>155.10026262</v>
      </c>
      <c r="D579">
        <v>3.6215655199999999</v>
      </c>
      <c r="E579">
        <v>4.8559999999999999E-2</v>
      </c>
      <c r="F579">
        <v>1488</v>
      </c>
      <c r="G579">
        <f>IF(OR(C579="",B579="",B579=0),"",5.51*(C579/(B579^3)))</f>
        <v>0.2686978940516489</v>
      </c>
      <c r="H579">
        <v>6094</v>
      </c>
      <c r="I579">
        <v>1.9179547308433176</v>
      </c>
      <c r="J579">
        <v>0.182</v>
      </c>
      <c r="L579">
        <f>IF(AND(B579&gt;=0.8,B579&lt;=1.5),1,IF(AND(B579&gt;=0.5,B579&lt;=2),0.5,0))</f>
        <v>0</v>
      </c>
      <c r="M579">
        <f>IF(AND(C579&gt;=0.5,C579&lt;=2),1,IF(AND(C579&gt;=0.1,C579&lt;=5),0.5,0))</f>
        <v>0</v>
      </c>
      <c r="N579">
        <f>IF(AND(G579&gt;=4,G579&lt;=7),1,IF(AND(G579&gt;=3,G579&lt;=8),0.5,0))</f>
        <v>0</v>
      </c>
      <c r="O579">
        <f>IF(AND(F579&gt;=270,F579&lt;=310),1,IF(AND(F579&gt;=250,F579&lt;=330),0.5,0))</f>
        <v>0</v>
      </c>
      <c r="P579">
        <f>IF(AND(E579&gt;=0.8,E579&lt;=1.5),1,IF(AND(E579&gt;=0.5,E579&lt;=2),0.5,0))</f>
        <v>0</v>
      </c>
      <c r="Q579">
        <f>IF(AND(H579&gt;=5000,H579&lt;=6000),1,IF(AND(H579&gt;=4000,H579&lt;5000),0.5,0))</f>
        <v>0</v>
      </c>
      <c r="R579">
        <f>0.35*AVERAGE(L579:M579:N579)+0.3*O579+0.2*P579+0.15*Q579</f>
        <v>0</v>
      </c>
      <c r="S579" t="str">
        <f>LEFT(K579,1)</f>
        <v/>
      </c>
      <c r="T579">
        <f>IF(S579="G",1,0)</f>
        <v>0</v>
      </c>
      <c r="U579">
        <f>IF(S579="K",1,0)</f>
        <v>0</v>
      </c>
      <c r="V579">
        <f>IF(S579="M",1,0)</f>
        <v>0</v>
      </c>
      <c r="W579">
        <f>IF(S579="F",1,0)</f>
        <v>0</v>
      </c>
    </row>
    <row r="580" spans="1:23" x14ac:dyDescent="0.3">
      <c r="A580" t="s">
        <v>150</v>
      </c>
      <c r="B580">
        <v>1.8942600000000001</v>
      </c>
      <c r="D580">
        <v>2.5946750000000001</v>
      </c>
      <c r="E580">
        <v>2.4335855E-2</v>
      </c>
      <c r="F580">
        <v>601.35</v>
      </c>
      <c r="G580" t="str">
        <f>IF(OR(C580="",B580="",B580=0),"",5.51*(C580/(B580^3)))</f>
        <v/>
      </c>
      <c r="H580">
        <v>3495</v>
      </c>
      <c r="I580">
        <v>1.2864767979365978E-2</v>
      </c>
      <c r="L580">
        <f>IF(AND(B580&gt;=0.8,B580&lt;=1.5),1,IF(AND(B580&gt;=0.5,B580&lt;=2),0.5,0))</f>
        <v>0.5</v>
      </c>
      <c r="M580">
        <f>IF(AND(C580&gt;=0.5,C580&lt;=2),1,IF(AND(C580&gt;=0.1,C580&lt;=5),0.5,0))</f>
        <v>0</v>
      </c>
      <c r="N580">
        <f>IF(AND(G580&gt;=4,G580&lt;=7),1,IF(AND(G580&gt;=3,G580&lt;=8),0.5,0))</f>
        <v>0</v>
      </c>
      <c r="O580">
        <f>IF(AND(F580&gt;=270,F580&lt;=310),1,IF(AND(F580&gt;=250,F580&lt;=330),0.5,0))</f>
        <v>0</v>
      </c>
      <c r="P580">
        <f>IF(AND(E580&gt;=0.8,E580&lt;=1.5),1,IF(AND(E580&gt;=0.5,E580&lt;=2),0.5,0))</f>
        <v>0</v>
      </c>
      <c r="Q580">
        <f>IF(AND(H580&gt;=5000,H580&lt;=6000),1,IF(AND(H580&gt;=4000,H580&lt;5000),0.5,0))</f>
        <v>0</v>
      </c>
      <c r="R580">
        <f>0.35*AVERAGE(L580:M580:N580)+0.3*O580+0.2*P580+0.15*Q580</f>
        <v>5.8333333333333327E-2</v>
      </c>
      <c r="S580" t="str">
        <f>LEFT(K580,1)</f>
        <v/>
      </c>
      <c r="T580">
        <f>IF(S580="G",1,0)</f>
        <v>0</v>
      </c>
      <c r="U580">
        <f>IF(S580="K",1,0)</f>
        <v>0</v>
      </c>
      <c r="V580">
        <f>IF(S580="M",1,0)</f>
        <v>0</v>
      </c>
      <c r="W580">
        <f>IF(S580="F",1,0)</f>
        <v>0</v>
      </c>
    </row>
    <row r="581" spans="1:23" x14ac:dyDescent="0.3">
      <c r="A581" t="s">
        <v>149</v>
      </c>
      <c r="B581">
        <v>10.3</v>
      </c>
      <c r="C581">
        <v>58.7</v>
      </c>
      <c r="D581">
        <v>10.590547000000001</v>
      </c>
      <c r="E581">
        <v>9.8000000000000004E-2</v>
      </c>
      <c r="F581">
        <v>947</v>
      </c>
      <c r="G581">
        <f>IF(OR(C581="",B581="",B581=0),"",5.51*(C581/(B581^3)))</f>
        <v>0.29599067287620778</v>
      </c>
      <c r="H581">
        <v>6000</v>
      </c>
      <c r="I581">
        <v>1.2843999605592262</v>
      </c>
      <c r="J581">
        <v>0.09</v>
      </c>
      <c r="K581" t="s">
        <v>12</v>
      </c>
      <c r="L581">
        <f>IF(AND(B581&gt;=0.8,B581&lt;=1.5),1,IF(AND(B581&gt;=0.5,B581&lt;=2),0.5,0))</f>
        <v>0</v>
      </c>
      <c r="M581">
        <f>IF(AND(C581&gt;=0.5,C581&lt;=2),1,IF(AND(C581&gt;=0.1,C581&lt;=5),0.5,0))</f>
        <v>0</v>
      </c>
      <c r="N581">
        <f>IF(AND(G581&gt;=4,G581&lt;=7),1,IF(AND(G581&gt;=3,G581&lt;=8),0.5,0))</f>
        <v>0</v>
      </c>
      <c r="O581">
        <f>IF(AND(F581&gt;=270,F581&lt;=310),1,IF(AND(F581&gt;=250,F581&lt;=330),0.5,0))</f>
        <v>0</v>
      </c>
      <c r="P581">
        <f>IF(AND(E581&gt;=0.8,E581&lt;=1.5),1,IF(AND(E581&gt;=0.5,E581&lt;=2),0.5,0))</f>
        <v>0</v>
      </c>
      <c r="Q581">
        <f>IF(AND(H581&gt;=5000,H581&lt;=6000),1,IF(AND(H581&gt;=4000,H581&lt;5000),0.5,0))</f>
        <v>1</v>
      </c>
      <c r="R581">
        <f>0.35*AVERAGE(L581:M581:N581)+0.3*O581+0.2*P581+0.15*Q581</f>
        <v>0.15</v>
      </c>
      <c r="S581" t="str">
        <f>LEFT(K581,1)</f>
        <v>G</v>
      </c>
      <c r="T581">
        <f>IF(S581="G",1,0)</f>
        <v>1</v>
      </c>
      <c r="U581">
        <f>IF(S581="K",1,0)</f>
        <v>0</v>
      </c>
      <c r="V581">
        <f>IF(S581="M",1,0)</f>
        <v>0</v>
      </c>
      <c r="W581">
        <f>IF(S581="F",1,0)</f>
        <v>0</v>
      </c>
    </row>
    <row r="582" spans="1:23" x14ac:dyDescent="0.3">
      <c r="A582" t="s">
        <v>148</v>
      </c>
      <c r="B582">
        <v>3.52</v>
      </c>
      <c r="C582">
        <v>11.8</v>
      </c>
      <c r="D582">
        <v>4.77271</v>
      </c>
      <c r="E582">
        <v>5.7000000000000002E-2</v>
      </c>
      <c r="F582">
        <v>1242</v>
      </c>
      <c r="G582">
        <f>IF(OR(C582="",B582="",B582=0),"",5.51*(C582/(B582^3)))</f>
        <v>1.4907527381902708</v>
      </c>
      <c r="H582">
        <v>6000</v>
      </c>
      <c r="I582">
        <v>1.2843999605592262</v>
      </c>
      <c r="J582">
        <v>0.09</v>
      </c>
      <c r="K582" t="s">
        <v>12</v>
      </c>
      <c r="L582">
        <f>IF(AND(B582&gt;=0.8,B582&lt;=1.5),1,IF(AND(B582&gt;=0.5,B582&lt;=2),0.5,0))</f>
        <v>0</v>
      </c>
      <c r="M582">
        <f>IF(AND(C582&gt;=0.5,C582&lt;=2),1,IF(AND(C582&gt;=0.1,C582&lt;=5),0.5,0))</f>
        <v>0</v>
      </c>
      <c r="N582">
        <f>IF(AND(G582&gt;=4,G582&lt;=7),1,IF(AND(G582&gt;=3,G582&lt;=8),0.5,0))</f>
        <v>0</v>
      </c>
      <c r="O582">
        <f>IF(AND(F582&gt;=270,F582&lt;=310),1,IF(AND(F582&gt;=250,F582&lt;=330),0.5,0))</f>
        <v>0</v>
      </c>
      <c r="P582">
        <f>IF(AND(E582&gt;=0.8,E582&lt;=1.5),1,IF(AND(E582&gt;=0.5,E582&lt;=2),0.5,0))</f>
        <v>0</v>
      </c>
      <c r="Q582">
        <f>IF(AND(H582&gt;=5000,H582&lt;=6000),1,IF(AND(H582&gt;=4000,H582&lt;5000),0.5,0))</f>
        <v>1</v>
      </c>
      <c r="R582">
        <f>0.35*AVERAGE(L582:M582:N582)+0.3*O582+0.2*P582+0.15*Q582</f>
        <v>0.15</v>
      </c>
      <c r="S582" t="str">
        <f>LEFT(K582,1)</f>
        <v>G</v>
      </c>
      <c r="T582">
        <f>IF(S582="G",1,0)</f>
        <v>1</v>
      </c>
      <c r="U582">
        <f>IF(S582="K",1,0)</f>
        <v>0</v>
      </c>
      <c r="V582">
        <f>IF(S582="M",1,0)</f>
        <v>0</v>
      </c>
      <c r="W582">
        <f>IF(S582="F",1,0)</f>
        <v>0</v>
      </c>
    </row>
    <row r="583" spans="1:23" x14ac:dyDescent="0.3">
      <c r="A583" t="s">
        <v>147</v>
      </c>
      <c r="B583">
        <v>0.90300000000000002</v>
      </c>
      <c r="D583">
        <v>1.2391490999999999</v>
      </c>
      <c r="E583">
        <v>1.223E-2</v>
      </c>
      <c r="F583">
        <v>611</v>
      </c>
      <c r="G583" t="str">
        <f>IF(OR(C583="",B583="",B583=0),"",5.51*(C583/(B583^3)))</f>
        <v/>
      </c>
      <c r="H583">
        <v>3216</v>
      </c>
      <c r="I583">
        <v>3.4464536235530563E-3</v>
      </c>
      <c r="K583" t="s">
        <v>146</v>
      </c>
      <c r="L583">
        <f>IF(AND(B583&gt;=0.8,B583&lt;=1.5),1,IF(AND(B583&gt;=0.5,B583&lt;=2),0.5,0))</f>
        <v>1</v>
      </c>
      <c r="M583">
        <f>IF(AND(C583&gt;=0.5,C583&lt;=2),1,IF(AND(C583&gt;=0.1,C583&lt;=5),0.5,0))</f>
        <v>0</v>
      </c>
      <c r="N583">
        <f>IF(AND(G583&gt;=4,G583&lt;=7),1,IF(AND(G583&gt;=3,G583&lt;=8),0.5,0))</f>
        <v>0</v>
      </c>
      <c r="O583">
        <f>IF(AND(F583&gt;=270,F583&lt;=310),1,IF(AND(F583&gt;=250,F583&lt;=330),0.5,0))</f>
        <v>0</v>
      </c>
      <c r="P583">
        <f>IF(AND(E583&gt;=0.8,E583&lt;=1.5),1,IF(AND(E583&gt;=0.5,E583&lt;=2),0.5,0))</f>
        <v>0</v>
      </c>
      <c r="Q583">
        <f>IF(AND(H583&gt;=5000,H583&lt;=6000),1,IF(AND(H583&gt;=4000,H583&lt;5000),0.5,0))</f>
        <v>0</v>
      </c>
      <c r="R583">
        <f>0.35*AVERAGE(L583:M583:N583)+0.3*O583+0.2*P583+0.15*Q583</f>
        <v>0.11666666666666665</v>
      </c>
      <c r="S583" t="str">
        <f>LEFT(K583,1)</f>
        <v>M</v>
      </c>
      <c r="T583">
        <f>IF(S583="G",1,0)</f>
        <v>0</v>
      </c>
      <c r="U583">
        <f>IF(S583="K",1,0)</f>
        <v>0</v>
      </c>
      <c r="V583">
        <f>IF(S583="M",1,0)</f>
        <v>1</v>
      </c>
      <c r="W583">
        <f>IF(S583="F",1,0)</f>
        <v>0</v>
      </c>
    </row>
    <row r="584" spans="1:23" x14ac:dyDescent="0.3">
      <c r="A584" t="s">
        <v>145</v>
      </c>
      <c r="B584">
        <v>2.0179999999999998</v>
      </c>
      <c r="C584">
        <v>2.89</v>
      </c>
      <c r="D584">
        <v>1.548352</v>
      </c>
      <c r="E584">
        <v>2.2499999999999999E-2</v>
      </c>
      <c r="F584">
        <v>999</v>
      </c>
      <c r="G584">
        <f>IF(OR(C584="",B584="",B584=0),"",5.51*(C584/(B584^3)))</f>
        <v>1.937697397225971</v>
      </c>
      <c r="H584">
        <v>4169</v>
      </c>
      <c r="I584">
        <v>0.10519461870608146</v>
      </c>
      <c r="J584">
        <v>-0.17</v>
      </c>
      <c r="L584">
        <f>IF(AND(B584&gt;=0.8,B584&lt;=1.5),1,IF(AND(B584&gt;=0.5,B584&lt;=2),0.5,0))</f>
        <v>0</v>
      </c>
      <c r="M584">
        <f>IF(AND(C584&gt;=0.5,C584&lt;=2),1,IF(AND(C584&gt;=0.1,C584&lt;=5),0.5,0))</f>
        <v>0.5</v>
      </c>
      <c r="N584">
        <f>IF(AND(G584&gt;=4,G584&lt;=7),1,IF(AND(G584&gt;=3,G584&lt;=8),0.5,0))</f>
        <v>0</v>
      </c>
      <c r="O584">
        <f>IF(AND(F584&gt;=270,F584&lt;=310),1,IF(AND(F584&gt;=250,F584&lt;=330),0.5,0))</f>
        <v>0</v>
      </c>
      <c r="P584">
        <f>IF(AND(E584&gt;=0.8,E584&lt;=1.5),1,IF(AND(E584&gt;=0.5,E584&lt;=2),0.5,0))</f>
        <v>0</v>
      </c>
      <c r="Q584">
        <f>IF(AND(H584&gt;=5000,H584&lt;=6000),1,IF(AND(H584&gt;=4000,H584&lt;5000),0.5,0))</f>
        <v>0.5</v>
      </c>
      <c r="R584">
        <f>0.35*AVERAGE(L584:M584:N584)+0.3*O584+0.2*P584+0.15*Q584</f>
        <v>0.13333333333333333</v>
      </c>
      <c r="S584" t="str">
        <f>LEFT(K584,1)</f>
        <v/>
      </c>
      <c r="T584">
        <f>IF(S584="G",1,0)</f>
        <v>0</v>
      </c>
      <c r="U584">
        <f>IF(S584="K",1,0)</f>
        <v>0</v>
      </c>
      <c r="V584">
        <f>IF(S584="M",1,0)</f>
        <v>0</v>
      </c>
      <c r="W584">
        <f>IF(S584="F",1,0)</f>
        <v>0</v>
      </c>
    </row>
    <row r="585" spans="1:23" x14ac:dyDescent="0.3">
      <c r="A585" t="s">
        <v>144</v>
      </c>
      <c r="B585">
        <v>11.309861529999999</v>
      </c>
      <c r="C585">
        <v>419.53349723999997</v>
      </c>
      <c r="D585">
        <v>75.123750000000001</v>
      </c>
      <c r="E585">
        <v>0.33200000000000002</v>
      </c>
      <c r="F585">
        <v>441</v>
      </c>
      <c r="G585">
        <f>IF(OR(C585="",B585="",B585=0),"",5.51*(C585/(B585^3)))</f>
        <v>1.5978881570451446</v>
      </c>
      <c r="H585">
        <v>5700</v>
      </c>
      <c r="I585">
        <v>1.0601336213514327</v>
      </c>
      <c r="J585">
        <v>-0.21</v>
      </c>
      <c r="K585" t="s">
        <v>126</v>
      </c>
      <c r="L585">
        <f>IF(AND(B585&gt;=0.8,B585&lt;=1.5),1,IF(AND(B585&gt;=0.5,B585&lt;=2),0.5,0))</f>
        <v>0</v>
      </c>
      <c r="M585">
        <f>IF(AND(C585&gt;=0.5,C585&lt;=2),1,IF(AND(C585&gt;=0.1,C585&lt;=5),0.5,0))</f>
        <v>0</v>
      </c>
      <c r="N585">
        <f>IF(AND(G585&gt;=4,G585&lt;=7),1,IF(AND(G585&gt;=3,G585&lt;=8),0.5,0))</f>
        <v>0</v>
      </c>
      <c r="O585">
        <f>IF(AND(F585&gt;=270,F585&lt;=310),1,IF(AND(F585&gt;=250,F585&lt;=330),0.5,0))</f>
        <v>0</v>
      </c>
      <c r="P585">
        <f>IF(AND(E585&gt;=0.8,E585&lt;=1.5),1,IF(AND(E585&gt;=0.5,E585&lt;=2),0.5,0))</f>
        <v>0</v>
      </c>
      <c r="Q585">
        <f>IF(AND(H585&gt;=5000,H585&lt;=6000),1,IF(AND(H585&gt;=4000,H585&lt;5000),0.5,0))</f>
        <v>1</v>
      </c>
      <c r="R585">
        <f>0.35*AVERAGE(L585:M585:N585)+0.3*O585+0.2*P585+0.15*Q585</f>
        <v>0.15</v>
      </c>
      <c r="S585" t="str">
        <f>LEFT(K585,1)</f>
        <v>G</v>
      </c>
      <c r="T585">
        <f>IF(S585="G",1,0)</f>
        <v>1</v>
      </c>
      <c r="U585">
        <f>IF(S585="K",1,0)</f>
        <v>0</v>
      </c>
      <c r="V585">
        <f>IF(S585="M",1,0)</f>
        <v>0</v>
      </c>
      <c r="W585">
        <f>IF(S585="F",1,0)</f>
        <v>0</v>
      </c>
    </row>
    <row r="586" spans="1:23" x14ac:dyDescent="0.3">
      <c r="A586" t="s">
        <v>143</v>
      </c>
      <c r="B586">
        <v>9.75</v>
      </c>
      <c r="C586">
        <v>112</v>
      </c>
      <c r="D586">
        <v>8.7975897700000001</v>
      </c>
      <c r="E586">
        <v>7.1199999999999999E-2</v>
      </c>
      <c r="F586">
        <v>528</v>
      </c>
      <c r="G586">
        <f>IF(OR(C586="",B586="",B586=0),"",5.51*(C586/(B586^3)))</f>
        <v>0.66581837185387482</v>
      </c>
      <c r="H586">
        <v>3790</v>
      </c>
      <c r="I586">
        <v>6.5315999915367171E-2</v>
      </c>
      <c r="J586">
        <v>0.42</v>
      </c>
      <c r="L586">
        <f>IF(AND(B586&gt;=0.8,B586&lt;=1.5),1,IF(AND(B586&gt;=0.5,B586&lt;=2),0.5,0))</f>
        <v>0</v>
      </c>
      <c r="M586">
        <f>IF(AND(C586&gt;=0.5,C586&lt;=2),1,IF(AND(C586&gt;=0.1,C586&lt;=5),0.5,0))</f>
        <v>0</v>
      </c>
      <c r="N586">
        <f>IF(AND(G586&gt;=4,G586&lt;=7),1,IF(AND(G586&gt;=3,G586&lt;=8),0.5,0))</f>
        <v>0</v>
      </c>
      <c r="O586">
        <f>IF(AND(F586&gt;=270,F586&lt;=310),1,IF(AND(F586&gt;=250,F586&lt;=330),0.5,0))</f>
        <v>0</v>
      </c>
      <c r="P586">
        <f>IF(AND(E586&gt;=0.8,E586&lt;=1.5),1,IF(AND(E586&gt;=0.5,E586&lt;=2),0.5,0))</f>
        <v>0</v>
      </c>
      <c r="Q586">
        <f>IF(AND(H586&gt;=5000,H586&lt;=6000),1,IF(AND(H586&gt;=4000,H586&lt;5000),0.5,0))</f>
        <v>0</v>
      </c>
      <c r="R586">
        <f>0.35*AVERAGE(L586:M586:N586)+0.3*O586+0.2*P586+0.15*Q586</f>
        <v>0</v>
      </c>
      <c r="S586" t="str">
        <f>LEFT(K586,1)</f>
        <v/>
      </c>
      <c r="T586">
        <f>IF(S586="G",1,0)</f>
        <v>0</v>
      </c>
      <c r="U586">
        <f>IF(S586="K",1,0)</f>
        <v>0</v>
      </c>
      <c r="V586">
        <f>IF(S586="M",1,0)</f>
        <v>0</v>
      </c>
      <c r="W586">
        <f>IF(S586="F",1,0)</f>
        <v>0</v>
      </c>
    </row>
    <row r="587" spans="1:23" x14ac:dyDescent="0.3">
      <c r="A587" t="s">
        <v>142</v>
      </c>
      <c r="B587">
        <v>12.172953039999999</v>
      </c>
      <c r="C587">
        <v>1147.3605492700001</v>
      </c>
      <c r="D587">
        <v>14.574071</v>
      </c>
      <c r="E587">
        <v>0.12909999999999999</v>
      </c>
      <c r="F587">
        <v>1061</v>
      </c>
      <c r="G587">
        <f>IF(OR(C587="",B587="",B587=0),"",5.51*(C587/(B587^3)))</f>
        <v>3.5048034851753469</v>
      </c>
      <c r="H587">
        <v>6466</v>
      </c>
      <c r="I587">
        <v>3.5099088488127652</v>
      </c>
      <c r="J587">
        <v>-4.0000000000000001E-3</v>
      </c>
      <c r="K587" t="s">
        <v>141</v>
      </c>
      <c r="L587">
        <f>IF(AND(B587&gt;=0.8,B587&lt;=1.5),1,IF(AND(B587&gt;=0.5,B587&lt;=2),0.5,0))</f>
        <v>0</v>
      </c>
      <c r="M587">
        <f>IF(AND(C587&gt;=0.5,C587&lt;=2),1,IF(AND(C587&gt;=0.1,C587&lt;=5),0.5,0))</f>
        <v>0</v>
      </c>
      <c r="N587">
        <f>IF(AND(G587&gt;=4,G587&lt;=7),1,IF(AND(G587&gt;=3,G587&lt;=8),0.5,0))</f>
        <v>0.5</v>
      </c>
      <c r="O587">
        <f>IF(AND(F587&gt;=270,F587&lt;=310),1,IF(AND(F587&gt;=250,F587&lt;=330),0.5,0))</f>
        <v>0</v>
      </c>
      <c r="P587">
        <f>IF(AND(E587&gt;=0.8,E587&lt;=1.5),1,IF(AND(E587&gt;=0.5,E587&lt;=2),0.5,0))</f>
        <v>0</v>
      </c>
      <c r="Q587">
        <f>IF(AND(H587&gt;=5000,H587&lt;=6000),1,IF(AND(H587&gt;=4000,H587&lt;5000),0.5,0))</f>
        <v>0</v>
      </c>
      <c r="R587">
        <f>0.35*AVERAGE(L587:M587:N587)+0.3*O587+0.2*P587+0.15*Q587</f>
        <v>5.8333333333333327E-2</v>
      </c>
      <c r="S587" t="str">
        <f>LEFT(K587,1)</f>
        <v>F</v>
      </c>
      <c r="T587">
        <f>IF(S587="G",1,0)</f>
        <v>0</v>
      </c>
      <c r="U587">
        <f>IF(S587="K",1,0)</f>
        <v>0</v>
      </c>
      <c r="V587">
        <f>IF(S587="M",1,0)</f>
        <v>0</v>
      </c>
      <c r="W587">
        <f>IF(S587="F",1,0)</f>
        <v>1</v>
      </c>
    </row>
    <row r="588" spans="1:23" x14ac:dyDescent="0.3">
      <c r="A588" t="s">
        <v>140</v>
      </c>
      <c r="B588">
        <v>12.228997939999999</v>
      </c>
      <c r="C588">
        <v>1910.1487260700001</v>
      </c>
      <c r="D588">
        <v>6.9839095000000002</v>
      </c>
      <c r="E588">
        <v>7.2300000000000003E-2</v>
      </c>
      <c r="F588">
        <v>1180</v>
      </c>
      <c r="G588">
        <f>IF(OR(C588="",B588="",B588=0),"",5.51*(C588/(B588^3)))</f>
        <v>5.7550111116898677</v>
      </c>
      <c r="H588">
        <v>5925</v>
      </c>
      <c r="I588">
        <v>1.6810066128090431</v>
      </c>
      <c r="J588">
        <v>-6.9000000000000006E-2</v>
      </c>
      <c r="K588" t="s">
        <v>12</v>
      </c>
      <c r="L588">
        <f>IF(AND(B588&gt;=0.8,B588&lt;=1.5),1,IF(AND(B588&gt;=0.5,B588&lt;=2),0.5,0))</f>
        <v>0</v>
      </c>
      <c r="M588">
        <f>IF(AND(C588&gt;=0.5,C588&lt;=2),1,IF(AND(C588&gt;=0.1,C588&lt;=5),0.5,0))</f>
        <v>0</v>
      </c>
      <c r="N588">
        <f>IF(AND(G588&gt;=4,G588&lt;=7),1,IF(AND(G588&gt;=3,G588&lt;=8),0.5,0))</f>
        <v>1</v>
      </c>
      <c r="O588">
        <f>IF(AND(F588&gt;=270,F588&lt;=310),1,IF(AND(F588&gt;=250,F588&lt;=330),0.5,0))</f>
        <v>0</v>
      </c>
      <c r="P588">
        <f>IF(AND(E588&gt;=0.8,E588&lt;=1.5),1,IF(AND(E588&gt;=0.5,E588&lt;=2),0.5,0))</f>
        <v>0</v>
      </c>
      <c r="Q588">
        <f>IF(AND(H588&gt;=5000,H588&lt;=6000),1,IF(AND(H588&gt;=4000,H588&lt;5000),0.5,0))</f>
        <v>1</v>
      </c>
      <c r="R588">
        <f>0.35*AVERAGE(L588:M588:N588)+0.3*O588+0.2*P588+0.15*Q588</f>
        <v>0.26666666666666666</v>
      </c>
      <c r="S588" t="str">
        <f>LEFT(K588,1)</f>
        <v>G</v>
      </c>
      <c r="T588">
        <f>IF(S588="G",1,0)</f>
        <v>1</v>
      </c>
      <c r="U588">
        <f>IF(S588="K",1,0)</f>
        <v>0</v>
      </c>
      <c r="V588">
        <f>IF(S588="M",1,0)</f>
        <v>0</v>
      </c>
      <c r="W588">
        <f>IF(S588="F",1,0)</f>
        <v>0</v>
      </c>
    </row>
    <row r="589" spans="1:23" x14ac:dyDescent="0.3">
      <c r="A589" t="s">
        <v>139</v>
      </c>
      <c r="B589">
        <v>17.149740470000001</v>
      </c>
      <c r="C589">
        <v>285.72773789000001</v>
      </c>
      <c r="D589">
        <v>2.6085845999999999</v>
      </c>
      <c r="E589">
        <v>3.9350000000000003E-2</v>
      </c>
      <c r="F589">
        <v>1789</v>
      </c>
      <c r="G589">
        <f>IF(OR(C589="",B589="",B589=0),"",5.51*(C589/(B589^3)))</f>
        <v>0.31212700506058605</v>
      </c>
      <c r="H589">
        <v>6237</v>
      </c>
      <c r="I589">
        <v>2.6344809287335877</v>
      </c>
      <c r="J589">
        <v>-1.2999999999999999E-2</v>
      </c>
      <c r="L589">
        <f>IF(AND(B589&gt;=0.8,B589&lt;=1.5),1,IF(AND(B589&gt;=0.5,B589&lt;=2),0.5,0))</f>
        <v>0</v>
      </c>
      <c r="M589">
        <f>IF(AND(C589&gt;=0.5,C589&lt;=2),1,IF(AND(C589&gt;=0.1,C589&lt;=5),0.5,0))</f>
        <v>0</v>
      </c>
      <c r="N589">
        <f>IF(AND(G589&gt;=4,G589&lt;=7),1,IF(AND(G589&gt;=3,G589&lt;=8),0.5,0))</f>
        <v>0</v>
      </c>
      <c r="O589">
        <f>IF(AND(F589&gt;=270,F589&lt;=310),1,IF(AND(F589&gt;=250,F589&lt;=330),0.5,0))</f>
        <v>0</v>
      </c>
      <c r="P589">
        <f>IF(AND(E589&gt;=0.8,E589&lt;=1.5),1,IF(AND(E589&gt;=0.5,E589&lt;=2),0.5,0))</f>
        <v>0</v>
      </c>
      <c r="Q589">
        <f>IF(AND(H589&gt;=5000,H589&lt;=6000),1,IF(AND(H589&gt;=4000,H589&lt;5000),0.5,0))</f>
        <v>0</v>
      </c>
      <c r="R589">
        <f>0.35*AVERAGE(L589:M589:N589)+0.3*O589+0.2*P589+0.15*Q589</f>
        <v>0</v>
      </c>
      <c r="S589" t="str">
        <f>LEFT(K589,1)</f>
        <v/>
      </c>
      <c r="T589">
        <f>IF(S589="G",1,0)</f>
        <v>0</v>
      </c>
      <c r="U589">
        <f>IF(S589="K",1,0)</f>
        <v>0</v>
      </c>
      <c r="V589">
        <f>IF(S589="M",1,0)</f>
        <v>0</v>
      </c>
      <c r="W589">
        <f>IF(S589="F",1,0)</f>
        <v>0</v>
      </c>
    </row>
    <row r="590" spans="1:23" x14ac:dyDescent="0.3">
      <c r="A590" t="s">
        <v>138</v>
      </c>
      <c r="B590">
        <v>10.78</v>
      </c>
      <c r="C590">
        <v>624</v>
      </c>
      <c r="D590">
        <v>2.0028489999999999</v>
      </c>
      <c r="E590">
        <v>2.7199999999999998E-2</v>
      </c>
      <c r="F590">
        <v>939</v>
      </c>
      <c r="G590">
        <f>IF(OR(C590="",B590="",B590=0),"",5.51*(C590/(B590^3)))</f>
        <v>2.7446053526292626</v>
      </c>
      <c r="H590">
        <v>3996</v>
      </c>
      <c r="I590">
        <v>9.5467775722143058E-2</v>
      </c>
      <c r="J590">
        <v>0.14000000000000001</v>
      </c>
      <c r="L590">
        <f>IF(AND(B590&gt;=0.8,B590&lt;=1.5),1,IF(AND(B590&gt;=0.5,B590&lt;=2),0.5,0))</f>
        <v>0</v>
      </c>
      <c r="M590">
        <f>IF(AND(C590&gt;=0.5,C590&lt;=2),1,IF(AND(C590&gt;=0.1,C590&lt;=5),0.5,0))</f>
        <v>0</v>
      </c>
      <c r="N590">
        <f>IF(AND(G590&gt;=4,G590&lt;=7),1,IF(AND(G590&gt;=3,G590&lt;=8),0.5,0))</f>
        <v>0</v>
      </c>
      <c r="O590">
        <f>IF(AND(F590&gt;=270,F590&lt;=310),1,IF(AND(F590&gt;=250,F590&lt;=330),0.5,0))</f>
        <v>0</v>
      </c>
      <c r="P590">
        <f>IF(AND(E590&gt;=0.8,E590&lt;=1.5),1,IF(AND(E590&gt;=0.5,E590&lt;=2),0.5,0))</f>
        <v>0</v>
      </c>
      <c r="Q590">
        <f>IF(AND(H590&gt;=5000,H590&lt;=6000),1,IF(AND(H590&gt;=4000,H590&lt;5000),0.5,0))</f>
        <v>0</v>
      </c>
      <c r="R590">
        <f>0.35*AVERAGE(L590:M590:N590)+0.3*O590+0.2*P590+0.15*Q590</f>
        <v>0</v>
      </c>
      <c r="S590" t="str">
        <f>LEFT(K590,1)</f>
        <v/>
      </c>
      <c r="T590">
        <f>IF(S590="G",1,0)</f>
        <v>0</v>
      </c>
      <c r="U590">
        <f>IF(S590="K",1,0)</f>
        <v>0</v>
      </c>
      <c r="V590">
        <f>IF(S590="M",1,0)</f>
        <v>0</v>
      </c>
      <c r="W590">
        <f>IF(S590="F",1,0)</f>
        <v>0</v>
      </c>
    </row>
    <row r="591" spans="1:23" x14ac:dyDescent="0.3">
      <c r="A591" t="s">
        <v>137</v>
      </c>
      <c r="B591">
        <v>10.42</v>
      </c>
      <c r="C591">
        <v>588</v>
      </c>
      <c r="D591">
        <v>2.2035372999999998</v>
      </c>
      <c r="E591">
        <v>2.7199999999999998E-2</v>
      </c>
      <c r="F591">
        <v>837</v>
      </c>
      <c r="G591">
        <f>IF(OR(C591="",B591="",B591=0),"",5.51*(C591/(B591^3)))</f>
        <v>2.8636884509481599</v>
      </c>
      <c r="H591">
        <v>3896</v>
      </c>
      <c r="I591">
        <v>6.0277212796880072E-2</v>
      </c>
      <c r="J591">
        <v>-0.27</v>
      </c>
      <c r="L591">
        <f>IF(AND(B591&gt;=0.8,B591&lt;=1.5),1,IF(AND(B591&gt;=0.5,B591&lt;=2),0.5,0))</f>
        <v>0</v>
      </c>
      <c r="M591">
        <f>IF(AND(C591&gt;=0.5,C591&lt;=2),1,IF(AND(C591&gt;=0.1,C591&lt;=5),0.5,0))</f>
        <v>0</v>
      </c>
      <c r="N591">
        <f>IF(AND(G591&gt;=4,G591&lt;=7),1,IF(AND(G591&gt;=3,G591&lt;=8),0.5,0))</f>
        <v>0</v>
      </c>
      <c r="O591">
        <f>IF(AND(F591&gt;=270,F591&lt;=310),1,IF(AND(F591&gt;=250,F591&lt;=330),0.5,0))</f>
        <v>0</v>
      </c>
      <c r="P591">
        <f>IF(AND(E591&gt;=0.8,E591&lt;=1.5),1,IF(AND(E591&gt;=0.5,E591&lt;=2),0.5,0))</f>
        <v>0</v>
      </c>
      <c r="Q591">
        <f>IF(AND(H591&gt;=5000,H591&lt;=6000),1,IF(AND(H591&gt;=4000,H591&lt;5000),0.5,0))</f>
        <v>0</v>
      </c>
      <c r="R591">
        <f>0.35*AVERAGE(L591:M591:N591)+0.3*O591+0.2*P591+0.15*Q591</f>
        <v>0</v>
      </c>
      <c r="S591" t="str">
        <f>LEFT(K591,1)</f>
        <v/>
      </c>
      <c r="T591">
        <f>IF(S591="G",1,0)</f>
        <v>0</v>
      </c>
      <c r="U591">
        <f>IF(S591="K",1,0)</f>
        <v>0</v>
      </c>
      <c r="V591">
        <f>IF(S591="M",1,0)</f>
        <v>0</v>
      </c>
      <c r="W591">
        <f>IF(S591="F",1,0)</f>
        <v>0</v>
      </c>
    </row>
    <row r="592" spans="1:23" x14ac:dyDescent="0.3">
      <c r="A592" t="s">
        <v>136</v>
      </c>
      <c r="B592">
        <v>11.43318</v>
      </c>
      <c r="C592">
        <v>464.98529000000002</v>
      </c>
      <c r="D592">
        <v>1.6511439999999999</v>
      </c>
      <c r="E592">
        <v>2.734E-2</v>
      </c>
      <c r="F592">
        <v>1714</v>
      </c>
      <c r="G592">
        <f>IF(OR(C592="",B592="",B592=0),"",5.51*(C592/(B592^3)))</f>
        <v>1.7143113089426614</v>
      </c>
      <c r="H592">
        <v>5640</v>
      </c>
      <c r="I592">
        <v>1.0746426102592155</v>
      </c>
      <c r="J592">
        <v>0.14299999999999999</v>
      </c>
      <c r="L592">
        <f>IF(AND(B592&gt;=0.8,B592&lt;=1.5),1,IF(AND(B592&gt;=0.5,B592&lt;=2),0.5,0))</f>
        <v>0</v>
      </c>
      <c r="M592">
        <f>IF(AND(C592&gt;=0.5,C592&lt;=2),1,IF(AND(C592&gt;=0.1,C592&lt;=5),0.5,0))</f>
        <v>0</v>
      </c>
      <c r="N592">
        <f>IF(AND(G592&gt;=4,G592&lt;=7),1,IF(AND(G592&gt;=3,G592&lt;=8),0.5,0))</f>
        <v>0</v>
      </c>
      <c r="O592">
        <f>IF(AND(F592&gt;=270,F592&lt;=310),1,IF(AND(F592&gt;=250,F592&lt;=330),0.5,0))</f>
        <v>0</v>
      </c>
      <c r="P592">
        <f>IF(AND(E592&gt;=0.8,E592&lt;=1.5),1,IF(AND(E592&gt;=0.5,E592&lt;=2),0.5,0))</f>
        <v>0</v>
      </c>
      <c r="Q592">
        <f>IF(AND(H592&gt;=5000,H592&lt;=6000),1,IF(AND(H592&gt;=4000,H592&lt;5000),0.5,0))</f>
        <v>1</v>
      </c>
      <c r="R592">
        <f>0.35*AVERAGE(L592:M592:N592)+0.3*O592+0.2*P592+0.15*Q592</f>
        <v>0.15</v>
      </c>
      <c r="S592" t="str">
        <f>LEFT(K592,1)</f>
        <v/>
      </c>
      <c r="T592">
        <f>IF(S592="G",1,0)</f>
        <v>0</v>
      </c>
      <c r="U592">
        <f>IF(S592="K",1,0)</f>
        <v>0</v>
      </c>
      <c r="V592">
        <f>IF(S592="M",1,0)</f>
        <v>0</v>
      </c>
      <c r="W592">
        <f>IF(S592="F",1,0)</f>
        <v>0</v>
      </c>
    </row>
    <row r="593" spans="1:23" x14ac:dyDescent="0.3">
      <c r="A593" t="s">
        <v>135</v>
      </c>
      <c r="B593">
        <v>4.91</v>
      </c>
      <c r="C593">
        <v>20</v>
      </c>
      <c r="D593">
        <v>47.730220000000003</v>
      </c>
      <c r="E593">
        <v>0.249</v>
      </c>
      <c r="F593">
        <v>513</v>
      </c>
      <c r="G593">
        <f>IF(OR(C593="",B593="",B593=0),"",5.51*(C593/(B593^3)))</f>
        <v>0.93097306935679236</v>
      </c>
      <c r="H593">
        <v>5485</v>
      </c>
      <c r="I593">
        <v>0.71449970590685197</v>
      </c>
      <c r="J593">
        <v>0</v>
      </c>
      <c r="K593" t="s">
        <v>134</v>
      </c>
      <c r="L593">
        <f>IF(AND(B593&gt;=0.8,B593&lt;=1.5),1,IF(AND(B593&gt;=0.5,B593&lt;=2),0.5,0))</f>
        <v>0</v>
      </c>
      <c r="M593">
        <f>IF(AND(C593&gt;=0.5,C593&lt;=2),1,IF(AND(C593&gt;=0.1,C593&lt;=5),0.5,0))</f>
        <v>0</v>
      </c>
      <c r="N593">
        <f>IF(AND(G593&gt;=4,G593&lt;=7),1,IF(AND(G593&gt;=3,G593&lt;=8),0.5,0))</f>
        <v>0</v>
      </c>
      <c r="O593">
        <f>IF(AND(F593&gt;=270,F593&lt;=310),1,IF(AND(F593&gt;=250,F593&lt;=330),0.5,0))</f>
        <v>0</v>
      </c>
      <c r="P593">
        <f>IF(AND(E593&gt;=0.8,E593&lt;=1.5),1,IF(AND(E593&gt;=0.5,E593&lt;=2),0.5,0))</f>
        <v>0</v>
      </c>
      <c r="Q593">
        <f>IF(AND(H593&gt;=5000,H593&lt;=6000),1,IF(AND(H593&gt;=4000,H593&lt;5000),0.5,0))</f>
        <v>1</v>
      </c>
      <c r="R593">
        <f>0.35*AVERAGE(L593:M593:N593)+0.3*O593+0.2*P593+0.15*Q593</f>
        <v>0.15</v>
      </c>
      <c r="S593" t="str">
        <f>LEFT(K593,1)</f>
        <v>G</v>
      </c>
      <c r="T593">
        <f>IF(S593="G",1,0)</f>
        <v>1</v>
      </c>
      <c r="U593">
        <f>IF(S593="K",1,0)</f>
        <v>0</v>
      </c>
      <c r="V593">
        <f>IF(S593="M",1,0)</f>
        <v>0</v>
      </c>
      <c r="W593">
        <f>IF(S593="F",1,0)</f>
        <v>0</v>
      </c>
    </row>
    <row r="594" spans="1:23" x14ac:dyDescent="0.3">
      <c r="A594" t="s">
        <v>133</v>
      </c>
      <c r="B594">
        <v>10.3</v>
      </c>
      <c r="C594">
        <v>124</v>
      </c>
      <c r="D594">
        <v>2.94815527</v>
      </c>
      <c r="E594">
        <v>3.3790000000000001E-2</v>
      </c>
      <c r="F594">
        <v>742</v>
      </c>
      <c r="G594">
        <f>IF(OR(C594="",B594="",B594=0),"",5.51*(C594/(B594^3)))</f>
        <v>0.62526138733645253</v>
      </c>
      <c r="H594">
        <v>3713</v>
      </c>
      <c r="I594">
        <v>5.54037751691294E-2</v>
      </c>
      <c r="J594">
        <v>0.47</v>
      </c>
      <c r="L594">
        <f>IF(AND(B594&gt;=0.8,B594&lt;=1.5),1,IF(AND(B594&gt;=0.5,B594&lt;=2),0.5,0))</f>
        <v>0</v>
      </c>
      <c r="M594">
        <f>IF(AND(C594&gt;=0.5,C594&lt;=2),1,IF(AND(C594&gt;=0.1,C594&lt;=5),0.5,0))</f>
        <v>0</v>
      </c>
      <c r="N594">
        <f>IF(AND(G594&gt;=4,G594&lt;=7),1,IF(AND(G594&gt;=3,G594&lt;=8),0.5,0))</f>
        <v>0</v>
      </c>
      <c r="O594">
        <f>IF(AND(F594&gt;=270,F594&lt;=310),1,IF(AND(F594&gt;=250,F594&lt;=330),0.5,0))</f>
        <v>0</v>
      </c>
      <c r="P594">
        <f>IF(AND(E594&gt;=0.8,E594&lt;=1.5),1,IF(AND(E594&gt;=0.5,E594&lt;=2),0.5,0))</f>
        <v>0</v>
      </c>
      <c r="Q594">
        <f>IF(AND(H594&gt;=5000,H594&lt;=6000),1,IF(AND(H594&gt;=4000,H594&lt;5000),0.5,0))</f>
        <v>0</v>
      </c>
      <c r="R594">
        <f>0.35*AVERAGE(L594:M594:N594)+0.3*O594+0.2*P594+0.15*Q594</f>
        <v>0</v>
      </c>
      <c r="S594" t="str">
        <f>LEFT(K594,1)</f>
        <v/>
      </c>
      <c r="T594">
        <f>IF(S594="G",1,0)</f>
        <v>0</v>
      </c>
      <c r="U594">
        <f>IF(S594="K",1,0)</f>
        <v>0</v>
      </c>
      <c r="V594">
        <f>IF(S594="M",1,0)</f>
        <v>0</v>
      </c>
      <c r="W594">
        <f>IF(S594="F",1,0)</f>
        <v>0</v>
      </c>
    </row>
    <row r="595" spans="1:23" x14ac:dyDescent="0.3">
      <c r="A595" t="s">
        <v>132</v>
      </c>
      <c r="B595">
        <v>1.77</v>
      </c>
      <c r="D595">
        <v>10.441989</v>
      </c>
      <c r="E595">
        <v>6.0080000000000001E-2</v>
      </c>
      <c r="F595">
        <v>347.2</v>
      </c>
      <c r="G595" t="str">
        <f>IF(OR(C595="",B595="",B595=0),"",5.51*(C595/(B595^3)))</f>
        <v/>
      </c>
      <c r="H595">
        <v>3225</v>
      </c>
      <c r="I595">
        <v>8.6882419019762708E-3</v>
      </c>
      <c r="J595">
        <v>-0.03</v>
      </c>
      <c r="K595" t="s">
        <v>118</v>
      </c>
      <c r="L595">
        <f>IF(AND(B595&gt;=0.8,B595&lt;=1.5),1,IF(AND(B595&gt;=0.5,B595&lt;=2),0.5,0))</f>
        <v>0.5</v>
      </c>
      <c r="M595">
        <f>IF(AND(C595&gt;=0.5,C595&lt;=2),1,IF(AND(C595&gt;=0.1,C595&lt;=5),0.5,0))</f>
        <v>0</v>
      </c>
      <c r="N595">
        <f>IF(AND(G595&gt;=4,G595&lt;=7),1,IF(AND(G595&gt;=3,G595&lt;=8),0.5,0))</f>
        <v>0</v>
      </c>
      <c r="O595">
        <f>IF(AND(F595&gt;=270,F595&lt;=310),1,IF(AND(F595&gt;=250,F595&lt;=330),0.5,0))</f>
        <v>0</v>
      </c>
      <c r="P595">
        <f>IF(AND(E595&gt;=0.8,E595&lt;=1.5),1,IF(AND(E595&gt;=0.5,E595&lt;=2),0.5,0))</f>
        <v>0</v>
      </c>
      <c r="Q595">
        <f>IF(AND(H595&gt;=5000,H595&lt;=6000),1,IF(AND(H595&gt;=4000,H595&lt;5000),0.5,0))</f>
        <v>0</v>
      </c>
      <c r="R595">
        <f>0.35*AVERAGE(L595:M595:N595)+0.3*O595+0.2*P595+0.15*Q595</f>
        <v>5.8333333333333327E-2</v>
      </c>
      <c r="S595" t="str">
        <f>LEFT(K595,1)</f>
        <v>M</v>
      </c>
      <c r="T595">
        <f>IF(S595="G",1,0)</f>
        <v>0</v>
      </c>
      <c r="U595">
        <f>IF(S595="K",1,0)</f>
        <v>0</v>
      </c>
      <c r="V595">
        <f>IF(S595="M",1,0)</f>
        <v>1</v>
      </c>
      <c r="W595">
        <f>IF(S595="F",1,0)</f>
        <v>0</v>
      </c>
    </row>
    <row r="596" spans="1:23" x14ac:dyDescent="0.3">
      <c r="A596" t="s">
        <v>131</v>
      </c>
      <c r="B596">
        <v>1.0900000000000001</v>
      </c>
      <c r="C596">
        <v>4.3</v>
      </c>
      <c r="D596">
        <v>1.4344555000000001</v>
      </c>
      <c r="E596">
        <v>1.8287999999999999E-2</v>
      </c>
      <c r="F596">
        <v>708</v>
      </c>
      <c r="G596">
        <f>IF(OR(C596="",B596="",B596=0),"",5.51*(C596/(B596^3)))</f>
        <v>18.295343193086794</v>
      </c>
      <c r="H596">
        <v>3325</v>
      </c>
      <c r="I596">
        <v>1.6086219722625691E-2</v>
      </c>
      <c r="J596">
        <v>0.03</v>
      </c>
      <c r="K596" t="s">
        <v>130</v>
      </c>
      <c r="L596">
        <f>IF(AND(B596&gt;=0.8,B596&lt;=1.5),1,IF(AND(B596&gt;=0.5,B596&lt;=2),0.5,0))</f>
        <v>1</v>
      </c>
      <c r="M596">
        <f>IF(AND(C596&gt;=0.5,C596&lt;=2),1,IF(AND(C596&gt;=0.1,C596&lt;=5),0.5,0))</f>
        <v>0.5</v>
      </c>
      <c r="N596">
        <f>IF(AND(G596&gt;=4,G596&lt;=7),1,IF(AND(G596&gt;=3,G596&lt;=8),0.5,0))</f>
        <v>0</v>
      </c>
      <c r="O596">
        <f>IF(AND(F596&gt;=270,F596&lt;=310),1,IF(AND(F596&gt;=250,F596&lt;=330),0.5,0))</f>
        <v>0</v>
      </c>
      <c r="P596">
        <f>IF(AND(E596&gt;=0.8,E596&lt;=1.5),1,IF(AND(E596&gt;=0.5,E596&lt;=2),0.5,0))</f>
        <v>0</v>
      </c>
      <c r="Q596">
        <f>IF(AND(H596&gt;=5000,H596&lt;=6000),1,IF(AND(H596&gt;=4000,H596&lt;5000),0.5,0))</f>
        <v>0</v>
      </c>
      <c r="R596">
        <f>0.35*AVERAGE(L596:M596:N596)+0.3*O596+0.2*P596+0.15*Q596</f>
        <v>0.17499999999999999</v>
      </c>
      <c r="S596" t="str">
        <f>LEFT(K596,1)</f>
        <v>M</v>
      </c>
      <c r="T596">
        <f>IF(S596="G",1,0)</f>
        <v>0</v>
      </c>
      <c r="U596">
        <f>IF(S596="K",1,0)</f>
        <v>0</v>
      </c>
      <c r="V596">
        <f>IF(S596="M",1,0)</f>
        <v>1</v>
      </c>
      <c r="W596">
        <f>IF(S596="F",1,0)</f>
        <v>0</v>
      </c>
    </row>
    <row r="597" spans="1:23" x14ac:dyDescent="0.3">
      <c r="A597" t="s">
        <v>129</v>
      </c>
      <c r="B597">
        <v>2.5539999999999998</v>
      </c>
      <c r="D597">
        <v>5.4911252150000003</v>
      </c>
      <c r="E597">
        <v>6.2185999999999998E-2</v>
      </c>
      <c r="G597" t="str">
        <f>IF(OR(C597="",B597="",B597=0),"",5.51*(C597/(B597^3)))</f>
        <v/>
      </c>
      <c r="H597">
        <v>5874</v>
      </c>
      <c r="I597">
        <v>1.30657959852184</v>
      </c>
      <c r="L597">
        <f>IF(AND(B597&gt;=0.8,B597&lt;=1.5),1,IF(AND(B597&gt;=0.5,B597&lt;=2),0.5,0))</f>
        <v>0</v>
      </c>
      <c r="M597">
        <f>IF(AND(C597&gt;=0.5,C597&lt;=2),1,IF(AND(C597&gt;=0.1,C597&lt;=5),0.5,0))</f>
        <v>0</v>
      </c>
      <c r="N597">
        <f>IF(AND(G597&gt;=4,G597&lt;=7),1,IF(AND(G597&gt;=3,G597&lt;=8),0.5,0))</f>
        <v>0</v>
      </c>
      <c r="O597">
        <f>IF(AND(F597&gt;=270,F597&lt;=310),1,IF(AND(F597&gt;=250,F597&lt;=330),0.5,0))</f>
        <v>0</v>
      </c>
      <c r="P597">
        <f>IF(AND(E597&gt;=0.8,E597&lt;=1.5),1,IF(AND(E597&gt;=0.5,E597&lt;=2),0.5,0))</f>
        <v>0</v>
      </c>
      <c r="Q597">
        <f>IF(AND(H597&gt;=5000,H597&lt;=6000),1,IF(AND(H597&gt;=4000,H597&lt;5000),0.5,0))</f>
        <v>1</v>
      </c>
      <c r="R597">
        <f>0.35*AVERAGE(L597:M597:N597)+0.3*O597+0.2*P597+0.15*Q597</f>
        <v>0.15</v>
      </c>
      <c r="S597" t="str">
        <f>LEFT(K597,1)</f>
        <v/>
      </c>
      <c r="T597">
        <f>IF(S597="G",1,0)</f>
        <v>0</v>
      </c>
      <c r="U597">
        <f>IF(S597="K",1,0)</f>
        <v>0</v>
      </c>
      <c r="V597">
        <f>IF(S597="M",1,0)</f>
        <v>0</v>
      </c>
      <c r="W597">
        <f>IF(S597="F",1,0)</f>
        <v>0</v>
      </c>
    </row>
    <row r="598" spans="1:23" x14ac:dyDescent="0.3">
      <c r="A598" t="s">
        <v>128</v>
      </c>
      <c r="B598">
        <v>8.5399999999999991</v>
      </c>
      <c r="C598">
        <v>73</v>
      </c>
      <c r="D598">
        <v>12.779107</v>
      </c>
      <c r="E598">
        <v>0.114</v>
      </c>
      <c r="F598">
        <v>1040</v>
      </c>
      <c r="G598">
        <f>IF(OR(C598="",B598="",B598=0),"",5.51*(C598/(B598^3)))</f>
        <v>0.64580417289522063</v>
      </c>
      <c r="H598">
        <v>6235</v>
      </c>
      <c r="I598">
        <v>2.5079189554827783</v>
      </c>
      <c r="J598">
        <v>0.08</v>
      </c>
      <c r="L598">
        <f>IF(AND(B598&gt;=0.8,B598&lt;=1.5),1,IF(AND(B598&gt;=0.5,B598&lt;=2),0.5,0))</f>
        <v>0</v>
      </c>
      <c r="M598">
        <f>IF(AND(C598&gt;=0.5,C598&lt;=2),1,IF(AND(C598&gt;=0.1,C598&lt;=5),0.5,0))</f>
        <v>0</v>
      </c>
      <c r="N598">
        <f>IF(AND(G598&gt;=4,G598&lt;=7),1,IF(AND(G598&gt;=3,G598&lt;=8),0.5,0))</f>
        <v>0</v>
      </c>
      <c r="O598">
        <f>IF(AND(F598&gt;=270,F598&lt;=310),1,IF(AND(F598&gt;=250,F598&lt;=330),0.5,0))</f>
        <v>0</v>
      </c>
      <c r="P598">
        <f>IF(AND(E598&gt;=0.8,E598&lt;=1.5),1,IF(AND(E598&gt;=0.5,E598&lt;=2),0.5,0))</f>
        <v>0</v>
      </c>
      <c r="Q598">
        <f>IF(AND(H598&gt;=5000,H598&lt;=6000),1,IF(AND(H598&gt;=4000,H598&lt;5000),0.5,0))</f>
        <v>0</v>
      </c>
      <c r="R598">
        <f>0.35*AVERAGE(L598:M598:N598)+0.3*O598+0.2*P598+0.15*Q598</f>
        <v>0</v>
      </c>
      <c r="S598" t="str">
        <f>LEFT(K598,1)</f>
        <v/>
      </c>
      <c r="T598">
        <f>IF(S598="G",1,0)</f>
        <v>0</v>
      </c>
      <c r="U598">
        <f>IF(S598="K",1,0)</f>
        <v>0</v>
      </c>
      <c r="V598">
        <f>IF(S598="M",1,0)</f>
        <v>0</v>
      </c>
      <c r="W598">
        <f>IF(S598="F",1,0)</f>
        <v>0</v>
      </c>
    </row>
    <row r="599" spans="1:23" x14ac:dyDescent="0.3">
      <c r="A599" t="s">
        <v>127</v>
      </c>
      <c r="B599">
        <v>5.62</v>
      </c>
      <c r="C599">
        <v>23.66</v>
      </c>
      <c r="D599">
        <v>6.1406324999999997</v>
      </c>
      <c r="E599">
        <v>6.4000000000000001E-2</v>
      </c>
      <c r="F599">
        <v>1136.78</v>
      </c>
      <c r="G599">
        <f>IF(OR(C599="",B599="",B599=0),"",5.51*(C599/(B599^3)))</f>
        <v>0.73444181034278777</v>
      </c>
      <c r="H599">
        <v>5715</v>
      </c>
      <c r="I599">
        <v>1.1204934197717578</v>
      </c>
      <c r="J599">
        <v>-0.27</v>
      </c>
      <c r="K599" t="s">
        <v>126</v>
      </c>
      <c r="L599">
        <f>IF(AND(B599&gt;=0.8,B599&lt;=1.5),1,IF(AND(B599&gt;=0.5,B599&lt;=2),0.5,0))</f>
        <v>0</v>
      </c>
      <c r="M599">
        <f>IF(AND(C599&gt;=0.5,C599&lt;=2),1,IF(AND(C599&gt;=0.1,C599&lt;=5),0.5,0))</f>
        <v>0</v>
      </c>
      <c r="N599">
        <f>IF(AND(G599&gt;=4,G599&lt;=7),1,IF(AND(G599&gt;=3,G599&lt;=8),0.5,0))</f>
        <v>0</v>
      </c>
      <c r="O599">
        <f>IF(AND(F599&gt;=270,F599&lt;=310),1,IF(AND(F599&gt;=250,F599&lt;=330),0.5,0))</f>
        <v>0</v>
      </c>
      <c r="P599">
        <f>IF(AND(E599&gt;=0.8,E599&lt;=1.5),1,IF(AND(E599&gt;=0.5,E599&lt;=2),0.5,0))</f>
        <v>0</v>
      </c>
      <c r="Q599">
        <f>IF(AND(H599&gt;=5000,H599&lt;=6000),1,IF(AND(H599&gt;=4000,H599&lt;5000),0.5,0))</f>
        <v>1</v>
      </c>
      <c r="R599">
        <f>0.35*AVERAGE(L599:M599:N599)+0.3*O599+0.2*P599+0.15*Q599</f>
        <v>0.15</v>
      </c>
      <c r="S599" t="str">
        <f>LEFT(K599,1)</f>
        <v>G</v>
      </c>
      <c r="T599">
        <f>IF(S599="G",1,0)</f>
        <v>1</v>
      </c>
      <c r="U599">
        <f>IF(S599="K",1,0)</f>
        <v>0</v>
      </c>
      <c r="V599">
        <f>IF(S599="M",1,0)</f>
        <v>0</v>
      </c>
      <c r="W599">
        <f>IF(S599="F",1,0)</f>
        <v>0</v>
      </c>
    </row>
    <row r="600" spans="1:23" x14ac:dyDescent="0.3">
      <c r="A600" t="s">
        <v>125</v>
      </c>
      <c r="B600">
        <v>1.7330000000000001</v>
      </c>
      <c r="D600">
        <v>4.1645070000000004</v>
      </c>
      <c r="E600">
        <v>3.4799999999999998E-2</v>
      </c>
      <c r="F600">
        <v>505</v>
      </c>
      <c r="G600" t="str">
        <f>IF(OR(C600="",B600="",B600=0),"",5.51*(C600/(B600^3)))</f>
        <v/>
      </c>
      <c r="H600">
        <v>3452</v>
      </c>
      <c r="I600">
        <v>1.3127531315118473E-2</v>
      </c>
      <c r="J600">
        <v>0.01</v>
      </c>
      <c r="K600" t="s">
        <v>74</v>
      </c>
      <c r="L600">
        <f>IF(AND(B600&gt;=0.8,B600&lt;=1.5),1,IF(AND(B600&gt;=0.5,B600&lt;=2),0.5,0))</f>
        <v>0.5</v>
      </c>
      <c r="M600">
        <f>IF(AND(C600&gt;=0.5,C600&lt;=2),1,IF(AND(C600&gt;=0.1,C600&lt;=5),0.5,0))</f>
        <v>0</v>
      </c>
      <c r="N600">
        <f>IF(AND(G600&gt;=4,G600&lt;=7),1,IF(AND(G600&gt;=3,G600&lt;=8),0.5,0))</f>
        <v>0</v>
      </c>
      <c r="O600">
        <f>IF(AND(F600&gt;=270,F600&lt;=310),1,IF(AND(F600&gt;=250,F600&lt;=330),0.5,0))</f>
        <v>0</v>
      </c>
      <c r="P600">
        <f>IF(AND(E600&gt;=0.8,E600&lt;=1.5),1,IF(AND(E600&gt;=0.5,E600&lt;=2),0.5,0))</f>
        <v>0</v>
      </c>
      <c r="Q600">
        <f>IF(AND(H600&gt;=5000,H600&lt;=6000),1,IF(AND(H600&gt;=4000,H600&lt;5000),0.5,0))</f>
        <v>0</v>
      </c>
      <c r="R600">
        <f>0.35*AVERAGE(L600:M600:N600)+0.3*O600+0.2*P600+0.15*Q600</f>
        <v>5.8333333333333327E-2</v>
      </c>
      <c r="S600" t="str">
        <f>LEFT(K600,1)</f>
        <v>M</v>
      </c>
      <c r="T600">
        <f>IF(S600="G",1,0)</f>
        <v>0</v>
      </c>
      <c r="U600">
        <f>IF(S600="K",1,0)</f>
        <v>0</v>
      </c>
      <c r="V600">
        <f>IF(S600="M",1,0)</f>
        <v>1</v>
      </c>
      <c r="W600">
        <f>IF(S600="F",1,0)</f>
        <v>0</v>
      </c>
    </row>
    <row r="601" spans="1:23" x14ac:dyDescent="0.3">
      <c r="A601" t="s">
        <v>124</v>
      </c>
      <c r="B601">
        <v>1.76</v>
      </c>
      <c r="D601">
        <v>14.010448999999999</v>
      </c>
      <c r="E601">
        <v>7.8200000000000006E-2</v>
      </c>
      <c r="F601">
        <v>337</v>
      </c>
      <c r="G601" t="str">
        <f>IF(OR(C601="",B601="",B601=0),"",5.51*(C601/(B601^3)))</f>
        <v/>
      </c>
      <c r="H601">
        <v>3452</v>
      </c>
      <c r="I601">
        <v>1.3127531315118473E-2</v>
      </c>
      <c r="J601">
        <v>0.01</v>
      </c>
      <c r="K601" t="s">
        <v>74</v>
      </c>
      <c r="L601">
        <f>IF(AND(B601&gt;=0.8,B601&lt;=1.5),1,IF(AND(B601&gt;=0.5,B601&lt;=2),0.5,0))</f>
        <v>0.5</v>
      </c>
      <c r="M601">
        <f>IF(AND(C601&gt;=0.5,C601&lt;=2),1,IF(AND(C601&gt;=0.1,C601&lt;=5),0.5,0))</f>
        <v>0</v>
      </c>
      <c r="N601">
        <f>IF(AND(G601&gt;=4,G601&lt;=7),1,IF(AND(G601&gt;=3,G601&lt;=8),0.5,0))</f>
        <v>0</v>
      </c>
      <c r="O601">
        <f>IF(AND(F601&gt;=270,F601&lt;=310),1,IF(AND(F601&gt;=250,F601&lt;=330),0.5,0))</f>
        <v>0</v>
      </c>
      <c r="P601">
        <f>IF(AND(E601&gt;=0.8,E601&lt;=1.5),1,IF(AND(E601&gt;=0.5,E601&lt;=2),0.5,0))</f>
        <v>0</v>
      </c>
      <c r="Q601">
        <f>IF(AND(H601&gt;=5000,H601&lt;=6000),1,IF(AND(H601&gt;=4000,H601&lt;5000),0.5,0))</f>
        <v>0</v>
      </c>
      <c r="R601">
        <f>0.35*AVERAGE(L601:M601:N601)+0.3*O601+0.2*P601+0.15*Q601</f>
        <v>5.8333333333333327E-2</v>
      </c>
      <c r="S601" t="str">
        <f>LEFT(K601,1)</f>
        <v>M</v>
      </c>
      <c r="T601">
        <f>IF(S601="G",1,0)</f>
        <v>0</v>
      </c>
      <c r="U601">
        <f>IF(S601="K",1,0)</f>
        <v>0</v>
      </c>
      <c r="V601">
        <f>IF(S601="M",1,0)</f>
        <v>1</v>
      </c>
      <c r="W601">
        <f>IF(S601="F",1,0)</f>
        <v>0</v>
      </c>
    </row>
    <row r="602" spans="1:23" x14ac:dyDescent="0.3">
      <c r="A602" t="s">
        <v>123</v>
      </c>
      <c r="B602">
        <v>2.46</v>
      </c>
      <c r="C602">
        <v>9.5</v>
      </c>
      <c r="D602">
        <v>2.6278838000000002</v>
      </c>
      <c r="E602">
        <v>3.44E-2</v>
      </c>
      <c r="F602">
        <v>1108</v>
      </c>
      <c r="G602">
        <f>IF(OR(C602="",B602="",B602=0),"",5.51*(C602/(B602^3)))</f>
        <v>3.5161701507953014</v>
      </c>
      <c r="H602">
        <v>4850</v>
      </c>
      <c r="I602">
        <v>0.29663049207997338</v>
      </c>
      <c r="J602">
        <v>-0.04</v>
      </c>
      <c r="K602" t="s">
        <v>33</v>
      </c>
      <c r="L602">
        <f>IF(AND(B602&gt;=0.8,B602&lt;=1.5),1,IF(AND(B602&gt;=0.5,B602&lt;=2),0.5,0))</f>
        <v>0</v>
      </c>
      <c r="M602">
        <f>IF(AND(C602&gt;=0.5,C602&lt;=2),1,IF(AND(C602&gt;=0.1,C602&lt;=5),0.5,0))</f>
        <v>0</v>
      </c>
      <c r="N602">
        <f>IF(AND(G602&gt;=4,G602&lt;=7),1,IF(AND(G602&gt;=3,G602&lt;=8),0.5,0))</f>
        <v>0.5</v>
      </c>
      <c r="O602">
        <f>IF(AND(F602&gt;=270,F602&lt;=310),1,IF(AND(F602&gt;=250,F602&lt;=330),0.5,0))</f>
        <v>0</v>
      </c>
      <c r="P602">
        <f>IF(AND(E602&gt;=0.8,E602&lt;=1.5),1,IF(AND(E602&gt;=0.5,E602&lt;=2),0.5,0))</f>
        <v>0</v>
      </c>
      <c r="Q602">
        <f>IF(AND(H602&gt;=5000,H602&lt;=6000),1,IF(AND(H602&gt;=4000,H602&lt;5000),0.5,0))</f>
        <v>0.5</v>
      </c>
      <c r="R602">
        <f>0.35*AVERAGE(L602:M602:N602)+0.3*O602+0.2*P602+0.15*Q602</f>
        <v>0.13333333333333333</v>
      </c>
      <c r="S602" t="str">
        <f>LEFT(K602,1)</f>
        <v>K</v>
      </c>
      <c r="T602">
        <f>IF(S602="G",1,0)</f>
        <v>0</v>
      </c>
      <c r="U602">
        <f>IF(S602="K",1,0)</f>
        <v>1</v>
      </c>
      <c r="V602">
        <f>IF(S602="M",1,0)</f>
        <v>0</v>
      </c>
      <c r="W602">
        <f>IF(S602="F",1,0)</f>
        <v>0</v>
      </c>
    </row>
    <row r="603" spans="1:23" x14ac:dyDescent="0.3">
      <c r="A603" t="s">
        <v>122</v>
      </c>
      <c r="B603">
        <v>3.08</v>
      </c>
      <c r="C603">
        <v>10.3</v>
      </c>
      <c r="D603">
        <v>15.61031</v>
      </c>
      <c r="E603">
        <v>0.12230000000000001</v>
      </c>
      <c r="F603">
        <v>950</v>
      </c>
      <c r="G603">
        <f>IF(OR(C603="",B603="",B603=0),"",5.51*(C603/(B603^3)))</f>
        <v>1.9423910757820355</v>
      </c>
      <c r="H603">
        <v>5770</v>
      </c>
      <c r="I603">
        <v>2.0250747043058039</v>
      </c>
      <c r="J603">
        <v>-0.24</v>
      </c>
      <c r="K603" t="s">
        <v>121</v>
      </c>
      <c r="L603">
        <f>IF(AND(B603&gt;=0.8,B603&lt;=1.5),1,IF(AND(B603&gt;=0.5,B603&lt;=2),0.5,0))</f>
        <v>0</v>
      </c>
      <c r="M603">
        <f>IF(AND(C603&gt;=0.5,C603&lt;=2),1,IF(AND(C603&gt;=0.1,C603&lt;=5),0.5,0))</f>
        <v>0</v>
      </c>
      <c r="N603">
        <f>IF(AND(G603&gt;=4,G603&lt;=7),1,IF(AND(G603&gt;=3,G603&lt;=8),0.5,0))</f>
        <v>0</v>
      </c>
      <c r="O603">
        <f>IF(AND(F603&gt;=270,F603&lt;=310),1,IF(AND(F603&gt;=250,F603&lt;=330),0.5,0))</f>
        <v>0</v>
      </c>
      <c r="P603">
        <f>IF(AND(E603&gt;=0.8,E603&lt;=1.5),1,IF(AND(E603&gt;=0.5,E603&lt;=2),0.5,0))</f>
        <v>0</v>
      </c>
      <c r="Q603">
        <f>IF(AND(H603&gt;=5000,H603&lt;=6000),1,IF(AND(H603&gt;=4000,H603&lt;5000),0.5,0))</f>
        <v>1</v>
      </c>
      <c r="R603">
        <f>0.35*AVERAGE(L603:M603:N603)+0.3*O603+0.2*P603+0.15*Q603</f>
        <v>0.15</v>
      </c>
      <c r="S603" t="str">
        <f>LEFT(K603,1)</f>
        <v>G</v>
      </c>
      <c r="T603">
        <f>IF(S603="G",1,0)</f>
        <v>1</v>
      </c>
      <c r="U603">
        <f>IF(S603="K",1,0)</f>
        <v>0</v>
      </c>
      <c r="V603">
        <f>IF(S603="M",1,0)</f>
        <v>0</v>
      </c>
      <c r="W603">
        <f>IF(S603="F",1,0)</f>
        <v>0</v>
      </c>
    </row>
    <row r="604" spans="1:23" x14ac:dyDescent="0.3">
      <c r="A604" t="s">
        <v>120</v>
      </c>
      <c r="B604">
        <v>11.46678726</v>
      </c>
      <c r="C604">
        <v>6995.40323807</v>
      </c>
      <c r="D604">
        <v>7.1489719999999997</v>
      </c>
      <c r="E604">
        <v>8.0399999999999999E-2</v>
      </c>
      <c r="F604">
        <v>1515</v>
      </c>
      <c r="G604">
        <f>IF(OR(C604="",B604="",B604=0),"",5.51*(C604/(B604^3)))</f>
        <v>25.564605001724775</v>
      </c>
      <c r="H604">
        <v>5920</v>
      </c>
      <c r="I604">
        <v>5.6285114661844711</v>
      </c>
      <c r="J604">
        <v>0.18</v>
      </c>
      <c r="L604">
        <f>IF(AND(B604&gt;=0.8,B604&lt;=1.5),1,IF(AND(B604&gt;=0.5,B604&lt;=2),0.5,0))</f>
        <v>0</v>
      </c>
      <c r="M604">
        <f>IF(AND(C604&gt;=0.5,C604&lt;=2),1,IF(AND(C604&gt;=0.1,C604&lt;=5),0.5,0))</f>
        <v>0</v>
      </c>
      <c r="N604">
        <f>IF(AND(G604&gt;=4,G604&lt;=7),1,IF(AND(G604&gt;=3,G604&lt;=8),0.5,0))</f>
        <v>0</v>
      </c>
      <c r="O604">
        <f>IF(AND(F604&gt;=270,F604&lt;=310),1,IF(AND(F604&gt;=250,F604&lt;=330),0.5,0))</f>
        <v>0</v>
      </c>
      <c r="P604">
        <f>IF(AND(E604&gt;=0.8,E604&lt;=1.5),1,IF(AND(E604&gt;=0.5,E604&lt;=2),0.5,0))</f>
        <v>0</v>
      </c>
      <c r="Q604">
        <f>IF(AND(H604&gt;=5000,H604&lt;=6000),1,IF(AND(H604&gt;=4000,H604&lt;5000),0.5,0))</f>
        <v>1</v>
      </c>
      <c r="R604">
        <f>0.35*AVERAGE(L604:M604:N604)+0.3*O604+0.2*P604+0.15*Q604</f>
        <v>0.15</v>
      </c>
      <c r="S604" t="str">
        <f>LEFT(K604,1)</f>
        <v/>
      </c>
      <c r="T604">
        <f>IF(S604="G",1,0)</f>
        <v>0</v>
      </c>
      <c r="U604">
        <f>IF(S604="K",1,0)</f>
        <v>0</v>
      </c>
      <c r="V604">
        <f>IF(S604="M",1,0)</f>
        <v>0</v>
      </c>
      <c r="W604">
        <f>IF(S604="F",1,0)</f>
        <v>0</v>
      </c>
    </row>
    <row r="605" spans="1:23" x14ac:dyDescent="0.3">
      <c r="A605" t="s">
        <v>119</v>
      </c>
      <c r="B605">
        <v>1.65</v>
      </c>
      <c r="D605">
        <v>10.904821</v>
      </c>
      <c r="E605">
        <v>5.722E-2</v>
      </c>
      <c r="F605">
        <v>321.39999999999998</v>
      </c>
      <c r="G605" t="str">
        <f>IF(OR(C605="",B605="",B605=0),"",5.51*(C605/(B605^3)))</f>
        <v/>
      </c>
      <c r="H605">
        <v>3229</v>
      </c>
      <c r="I605">
        <v>5.7688489975677168E-3</v>
      </c>
      <c r="J605">
        <v>-0.18</v>
      </c>
      <c r="K605" t="s">
        <v>118</v>
      </c>
      <c r="L605">
        <f>IF(AND(B605&gt;=0.8,B605&lt;=1.5),1,IF(AND(B605&gt;=0.5,B605&lt;=2),0.5,0))</f>
        <v>0.5</v>
      </c>
      <c r="M605">
        <f>IF(AND(C605&gt;=0.5,C605&lt;=2),1,IF(AND(C605&gt;=0.1,C605&lt;=5),0.5,0))</f>
        <v>0</v>
      </c>
      <c r="N605">
        <f>IF(AND(G605&gt;=4,G605&lt;=7),1,IF(AND(G605&gt;=3,G605&lt;=8),0.5,0))</f>
        <v>0</v>
      </c>
      <c r="O605">
        <f>IF(AND(F605&gt;=270,F605&lt;=310),1,IF(AND(F605&gt;=250,F605&lt;=330),0.5,0))</f>
        <v>0.5</v>
      </c>
      <c r="P605">
        <f>IF(AND(E605&gt;=0.8,E605&lt;=1.5),1,IF(AND(E605&gt;=0.5,E605&lt;=2),0.5,0))</f>
        <v>0</v>
      </c>
      <c r="Q605">
        <f>IF(AND(H605&gt;=5000,H605&lt;=6000),1,IF(AND(H605&gt;=4000,H605&lt;5000),0.5,0))</f>
        <v>0</v>
      </c>
      <c r="R605">
        <f>0.35*AVERAGE(L605:M605:N605)+0.3*O605+0.2*P605+0.15*Q605</f>
        <v>0.20833333333333331</v>
      </c>
      <c r="S605" t="str">
        <f>LEFT(K605,1)</f>
        <v>M</v>
      </c>
      <c r="T605">
        <f>IF(S605="G",1,0)</f>
        <v>0</v>
      </c>
      <c r="U605">
        <f>IF(S605="K",1,0)</f>
        <v>0</v>
      </c>
      <c r="V605">
        <f>IF(S605="M",1,0)</f>
        <v>1</v>
      </c>
      <c r="W605">
        <f>IF(S605="F",1,0)</f>
        <v>0</v>
      </c>
    </row>
    <row r="606" spans="1:23" x14ac:dyDescent="0.3">
      <c r="A606" t="s">
        <v>117</v>
      </c>
      <c r="B606">
        <v>1.03</v>
      </c>
      <c r="C606">
        <v>4</v>
      </c>
      <c r="D606">
        <v>0.85743469999999999</v>
      </c>
      <c r="E606">
        <v>1.0777E-2</v>
      </c>
      <c r="F606">
        <v>707</v>
      </c>
      <c r="G606">
        <f>IF(OR(C606="",B606="",B606=0),"",5.51*(C606/(B606^3)))</f>
        <v>20.169722172143636</v>
      </c>
      <c r="H606">
        <v>3075</v>
      </c>
      <c r="I606">
        <v>4.6978707313862318E-3</v>
      </c>
      <c r="J606">
        <v>0.3</v>
      </c>
      <c r="K606" t="s">
        <v>116</v>
      </c>
      <c r="L606">
        <f>IF(AND(B606&gt;=0.8,B606&lt;=1.5),1,IF(AND(B606&gt;=0.5,B606&lt;=2),0.5,0))</f>
        <v>1</v>
      </c>
      <c r="M606">
        <f>IF(AND(C606&gt;=0.5,C606&lt;=2),1,IF(AND(C606&gt;=0.1,C606&lt;=5),0.5,0))</f>
        <v>0.5</v>
      </c>
      <c r="N606">
        <f>IF(AND(G606&gt;=4,G606&lt;=7),1,IF(AND(G606&gt;=3,G606&lt;=8),0.5,0))</f>
        <v>0</v>
      </c>
      <c r="O606">
        <f>IF(AND(F606&gt;=270,F606&lt;=310),1,IF(AND(F606&gt;=250,F606&lt;=330),0.5,0))</f>
        <v>0</v>
      </c>
      <c r="P606">
        <f>IF(AND(E606&gt;=0.8,E606&lt;=1.5),1,IF(AND(E606&gt;=0.5,E606&lt;=2),0.5,0))</f>
        <v>0</v>
      </c>
      <c r="Q606">
        <f>IF(AND(H606&gt;=5000,H606&lt;=6000),1,IF(AND(H606&gt;=4000,H606&lt;5000),0.5,0))</f>
        <v>0</v>
      </c>
      <c r="R606">
        <f>0.35*AVERAGE(L606:M606:N606)+0.3*O606+0.2*P606+0.15*Q606</f>
        <v>0.17499999999999999</v>
      </c>
      <c r="S606" t="str">
        <f>LEFT(K606,1)</f>
        <v>M</v>
      </c>
      <c r="T606">
        <f>IF(S606="G",1,0)</f>
        <v>0</v>
      </c>
      <c r="U606">
        <f>IF(S606="K",1,0)</f>
        <v>0</v>
      </c>
      <c r="V606">
        <f>IF(S606="M",1,0)</f>
        <v>1</v>
      </c>
      <c r="W606">
        <f>IF(S606="F",1,0)</f>
        <v>0</v>
      </c>
    </row>
    <row r="607" spans="1:23" x14ac:dyDescent="0.3">
      <c r="A607" t="s">
        <v>115</v>
      </c>
      <c r="B607">
        <v>13.67495645</v>
      </c>
      <c r="C607">
        <v>371.85923618999999</v>
      </c>
      <c r="D607">
        <v>4.0236869999999998</v>
      </c>
      <c r="E607">
        <v>5.5E-2</v>
      </c>
      <c r="F607">
        <v>1890</v>
      </c>
      <c r="G607">
        <f>IF(OR(C607="",B607="",B607=0),"",5.51*(C607/(B607^3)))</f>
        <v>0.8012209858668814</v>
      </c>
      <c r="H607">
        <v>6110</v>
      </c>
      <c r="I607">
        <v>2.851074629553811</v>
      </c>
      <c r="J607">
        <v>0.28000000000000003</v>
      </c>
      <c r="K607" t="s">
        <v>18</v>
      </c>
      <c r="L607">
        <f>IF(AND(B607&gt;=0.8,B607&lt;=1.5),1,IF(AND(B607&gt;=0.5,B607&lt;=2),0.5,0))</f>
        <v>0</v>
      </c>
      <c r="M607">
        <f>IF(AND(C607&gt;=0.5,C607&lt;=2),1,IF(AND(C607&gt;=0.1,C607&lt;=5),0.5,0))</f>
        <v>0</v>
      </c>
      <c r="N607">
        <f>IF(AND(G607&gt;=4,G607&lt;=7),1,IF(AND(G607&gt;=3,G607&lt;=8),0.5,0))</f>
        <v>0</v>
      </c>
      <c r="O607">
        <f>IF(AND(F607&gt;=270,F607&lt;=310),1,IF(AND(F607&gt;=250,F607&lt;=330),0.5,0))</f>
        <v>0</v>
      </c>
      <c r="P607">
        <f>IF(AND(E607&gt;=0.8,E607&lt;=1.5),1,IF(AND(E607&gt;=0.5,E607&lt;=2),0.5,0))</f>
        <v>0</v>
      </c>
      <c r="Q607">
        <f>IF(AND(H607&gt;=5000,H607&lt;=6000),1,IF(AND(H607&gt;=4000,H607&lt;5000),0.5,0))</f>
        <v>0</v>
      </c>
      <c r="R607">
        <f>0.35*AVERAGE(L607:M607:N607)+0.3*O607+0.2*P607+0.15*Q607</f>
        <v>0</v>
      </c>
      <c r="S607" t="str">
        <f>LEFT(K607,1)</f>
        <v>F</v>
      </c>
      <c r="T607">
        <f>IF(S607="G",1,0)</f>
        <v>0</v>
      </c>
      <c r="U607">
        <f>IF(S607="K",1,0)</f>
        <v>0</v>
      </c>
      <c r="V607">
        <f>IF(S607="M",1,0)</f>
        <v>0</v>
      </c>
      <c r="W607">
        <f>IF(S607="F",1,0)</f>
        <v>1</v>
      </c>
    </row>
    <row r="608" spans="1:23" x14ac:dyDescent="0.3">
      <c r="A608" t="s">
        <v>114</v>
      </c>
      <c r="B608">
        <v>14.392331220000001</v>
      </c>
      <c r="C608">
        <v>519.64944544000002</v>
      </c>
      <c r="D608">
        <v>5.7987000000000002</v>
      </c>
      <c r="G608">
        <f>IF(OR(C608="",B608="",B608=0),"",5.51*(C608/(B608^3)))</f>
        <v>0.96043644497111091</v>
      </c>
      <c r="H608">
        <v>6223</v>
      </c>
      <c r="I608">
        <v>7.35492193605136</v>
      </c>
      <c r="J608">
        <v>0.37</v>
      </c>
      <c r="L608">
        <f>IF(AND(B608&gt;=0.8,B608&lt;=1.5),1,IF(AND(B608&gt;=0.5,B608&lt;=2),0.5,0))</f>
        <v>0</v>
      </c>
      <c r="M608">
        <f>IF(AND(C608&gt;=0.5,C608&lt;=2),1,IF(AND(C608&gt;=0.1,C608&lt;=5),0.5,0))</f>
        <v>0</v>
      </c>
      <c r="N608">
        <f>IF(AND(G608&gt;=4,G608&lt;=7),1,IF(AND(G608&gt;=3,G608&lt;=8),0.5,0))</f>
        <v>0</v>
      </c>
      <c r="O608">
        <f>IF(AND(F608&gt;=270,F608&lt;=310),1,IF(AND(F608&gt;=250,F608&lt;=330),0.5,0))</f>
        <v>0</v>
      </c>
      <c r="P608">
        <f>IF(AND(E608&gt;=0.8,E608&lt;=1.5),1,IF(AND(E608&gt;=0.5,E608&lt;=2),0.5,0))</f>
        <v>0</v>
      </c>
      <c r="Q608">
        <f>IF(AND(H608&gt;=5000,H608&lt;=6000),1,IF(AND(H608&gt;=4000,H608&lt;5000),0.5,0))</f>
        <v>0</v>
      </c>
      <c r="R608">
        <f>0.35*AVERAGE(L608:M608:N608)+0.3*O608+0.2*P608+0.15*Q608</f>
        <v>0</v>
      </c>
      <c r="S608" t="str">
        <f>LEFT(K608,1)</f>
        <v/>
      </c>
      <c r="T608">
        <f>IF(S608="G",1,0)</f>
        <v>0</v>
      </c>
      <c r="U608">
        <f>IF(S608="K",1,0)</f>
        <v>0</v>
      </c>
      <c r="V608">
        <f>IF(S608="M",1,0)</f>
        <v>0</v>
      </c>
      <c r="W608">
        <f>IF(S608="F",1,0)</f>
        <v>0</v>
      </c>
    </row>
    <row r="609" spans="1:23" x14ac:dyDescent="0.3">
      <c r="A609" t="s">
        <v>113</v>
      </c>
      <c r="B609">
        <v>11.92</v>
      </c>
      <c r="C609">
        <v>254</v>
      </c>
      <c r="D609">
        <v>2.576184</v>
      </c>
      <c r="E609">
        <v>2.9489999999999999E-2</v>
      </c>
      <c r="F609">
        <v>714</v>
      </c>
      <c r="G609">
        <f>IF(OR(C609="",B609="",B609=0),"",5.51*(C609/(B609^3)))</f>
        <v>0.82633576348970317</v>
      </c>
      <c r="H609">
        <v>3635</v>
      </c>
      <c r="I609">
        <v>3.745633055008956E-2</v>
      </c>
      <c r="J609">
        <v>-0.09</v>
      </c>
      <c r="L609">
        <f>IF(AND(B609&gt;=0.8,B609&lt;=1.5),1,IF(AND(B609&gt;=0.5,B609&lt;=2),0.5,0))</f>
        <v>0</v>
      </c>
      <c r="M609">
        <f>IF(AND(C609&gt;=0.5,C609&lt;=2),1,IF(AND(C609&gt;=0.1,C609&lt;=5),0.5,0))</f>
        <v>0</v>
      </c>
      <c r="N609">
        <f>IF(AND(G609&gt;=4,G609&lt;=7),1,IF(AND(G609&gt;=3,G609&lt;=8),0.5,0))</f>
        <v>0</v>
      </c>
      <c r="O609">
        <f>IF(AND(F609&gt;=270,F609&lt;=310),1,IF(AND(F609&gt;=250,F609&lt;=330),0.5,0))</f>
        <v>0</v>
      </c>
      <c r="P609">
        <f>IF(AND(E609&gt;=0.8,E609&lt;=1.5),1,IF(AND(E609&gt;=0.5,E609&lt;=2),0.5,0))</f>
        <v>0</v>
      </c>
      <c r="Q609">
        <f>IF(AND(H609&gt;=5000,H609&lt;=6000),1,IF(AND(H609&gt;=4000,H609&lt;5000),0.5,0))</f>
        <v>0</v>
      </c>
      <c r="R609">
        <f>0.35*AVERAGE(L609:M609:N609)+0.3*O609+0.2*P609+0.15*Q609</f>
        <v>0</v>
      </c>
      <c r="S609" t="str">
        <f>LEFT(K609,1)</f>
        <v/>
      </c>
      <c r="T609">
        <f>IF(S609="G",1,0)</f>
        <v>0</v>
      </c>
      <c r="U609">
        <f>IF(S609="K",1,0)</f>
        <v>0</v>
      </c>
      <c r="V609">
        <f>IF(S609="M",1,0)</f>
        <v>0</v>
      </c>
      <c r="W609">
        <f>IF(S609="F",1,0)</f>
        <v>0</v>
      </c>
    </row>
    <row r="610" spans="1:23" x14ac:dyDescent="0.3">
      <c r="A610" t="s">
        <v>112</v>
      </c>
      <c r="B610">
        <v>6.41</v>
      </c>
      <c r="C610">
        <v>78.5</v>
      </c>
      <c r="D610">
        <v>5.8267310999999999</v>
      </c>
      <c r="E610">
        <v>6.9000000000000006E-2</v>
      </c>
      <c r="F610">
        <v>1439</v>
      </c>
      <c r="G610">
        <f>IF(OR(C610="",B610="",B610=0),"",5.51*(C610/(B610^3)))</f>
        <v>1.642279860260393</v>
      </c>
      <c r="H610">
        <v>6110</v>
      </c>
      <c r="I610">
        <v>3.3960111357851464</v>
      </c>
      <c r="J610">
        <v>0.124</v>
      </c>
      <c r="L610">
        <f>IF(AND(B610&gt;=0.8,B610&lt;=1.5),1,IF(AND(B610&gt;=0.5,B610&lt;=2),0.5,0))</f>
        <v>0</v>
      </c>
      <c r="M610">
        <f>IF(AND(C610&gt;=0.5,C610&lt;=2),1,IF(AND(C610&gt;=0.1,C610&lt;=5),0.5,0))</f>
        <v>0</v>
      </c>
      <c r="N610">
        <f>IF(AND(G610&gt;=4,G610&lt;=7),1,IF(AND(G610&gt;=3,G610&lt;=8),0.5,0))</f>
        <v>0</v>
      </c>
      <c r="O610">
        <f>IF(AND(F610&gt;=270,F610&lt;=310),1,IF(AND(F610&gt;=250,F610&lt;=330),0.5,0))</f>
        <v>0</v>
      </c>
      <c r="P610">
        <f>IF(AND(E610&gt;=0.8,E610&lt;=1.5),1,IF(AND(E610&gt;=0.5,E610&lt;=2),0.5,0))</f>
        <v>0</v>
      </c>
      <c r="Q610">
        <f>IF(AND(H610&gt;=5000,H610&lt;=6000),1,IF(AND(H610&gt;=4000,H610&lt;5000),0.5,0))</f>
        <v>0</v>
      </c>
      <c r="R610">
        <f>0.35*AVERAGE(L610:M610:N610)+0.3*O610+0.2*P610+0.15*Q610</f>
        <v>0</v>
      </c>
      <c r="S610" t="str">
        <f>LEFT(K610,1)</f>
        <v/>
      </c>
      <c r="T610">
        <f>IF(S610="G",1,0)</f>
        <v>0</v>
      </c>
      <c r="U610">
        <f>IF(S610="K",1,0)</f>
        <v>0</v>
      </c>
      <c r="V610">
        <f>IF(S610="M",1,0)</f>
        <v>0</v>
      </c>
      <c r="W610">
        <f>IF(S610="F",1,0)</f>
        <v>0</v>
      </c>
    </row>
    <row r="611" spans="1:23" x14ac:dyDescent="0.3">
      <c r="A611" t="s">
        <v>111</v>
      </c>
      <c r="B611">
        <v>4.55</v>
      </c>
      <c r="C611">
        <v>28.9</v>
      </c>
      <c r="D611">
        <v>26.04945</v>
      </c>
      <c r="E611">
        <v>0.1651</v>
      </c>
      <c r="F611">
        <v>605.6</v>
      </c>
      <c r="G611">
        <f>IF(OR(C611="",B611="",B611=0),"",5.51*(C611/(B611^3)))</f>
        <v>1.6905002979148613</v>
      </c>
      <c r="H611">
        <v>5445</v>
      </c>
      <c r="I611">
        <v>0.60933922586239686</v>
      </c>
      <c r="J611">
        <v>0.104</v>
      </c>
      <c r="K611" t="s">
        <v>110</v>
      </c>
      <c r="L611">
        <f>IF(AND(B611&gt;=0.8,B611&lt;=1.5),1,IF(AND(B611&gt;=0.5,B611&lt;=2),0.5,0))</f>
        <v>0</v>
      </c>
      <c r="M611">
        <f>IF(AND(C611&gt;=0.5,C611&lt;=2),1,IF(AND(C611&gt;=0.1,C611&lt;=5),0.5,0))</f>
        <v>0</v>
      </c>
      <c r="N611">
        <f>IF(AND(G611&gt;=4,G611&lt;=7),1,IF(AND(G611&gt;=3,G611&lt;=8),0.5,0))</f>
        <v>0</v>
      </c>
      <c r="O611">
        <f>IF(AND(F611&gt;=270,F611&lt;=310),1,IF(AND(F611&gt;=250,F611&lt;=330),0.5,0))</f>
        <v>0</v>
      </c>
      <c r="P611">
        <f>IF(AND(E611&gt;=0.8,E611&lt;=1.5),1,IF(AND(E611&gt;=0.5,E611&lt;=2),0.5,0))</f>
        <v>0</v>
      </c>
      <c r="Q611">
        <f>IF(AND(H611&gt;=5000,H611&lt;=6000),1,IF(AND(H611&gt;=4000,H611&lt;5000),0.5,0))</f>
        <v>1</v>
      </c>
      <c r="R611">
        <f>0.35*AVERAGE(L611:M611:N611)+0.3*O611+0.2*P611+0.15*Q611</f>
        <v>0.15</v>
      </c>
      <c r="S611" t="str">
        <f>LEFT(K611,1)</f>
        <v>G</v>
      </c>
      <c r="T611">
        <f>IF(S611="G",1,0)</f>
        <v>1</v>
      </c>
      <c r="U611">
        <f>IF(S611="K",1,0)</f>
        <v>0</v>
      </c>
      <c r="V611">
        <f>IF(S611="M",1,0)</f>
        <v>0</v>
      </c>
      <c r="W611">
        <f>IF(S611="F",1,0)</f>
        <v>0</v>
      </c>
    </row>
    <row r="612" spans="1:23" x14ac:dyDescent="0.3">
      <c r="A612" t="s">
        <v>109</v>
      </c>
      <c r="B612">
        <v>2.64</v>
      </c>
      <c r="C612">
        <v>12.5</v>
      </c>
      <c r="D612">
        <v>7.5014279999999998</v>
      </c>
      <c r="E612">
        <v>7.6300000000000007E-2</v>
      </c>
      <c r="F612">
        <v>1360</v>
      </c>
      <c r="G612">
        <f>IF(OR(C612="",B612="",B612=0),"",5.51*(C612/(B612^3)))</f>
        <v>3.7432586018588081</v>
      </c>
      <c r="H612">
        <v>6047</v>
      </c>
      <c r="I612">
        <v>3.3136891310592018</v>
      </c>
      <c r="J612">
        <v>-7.0000000000000007E-2</v>
      </c>
      <c r="L612">
        <f>IF(AND(B612&gt;=0.8,B612&lt;=1.5),1,IF(AND(B612&gt;=0.5,B612&lt;=2),0.5,0))</f>
        <v>0</v>
      </c>
      <c r="M612">
        <f>IF(AND(C612&gt;=0.5,C612&lt;=2),1,IF(AND(C612&gt;=0.1,C612&lt;=5),0.5,0))</f>
        <v>0</v>
      </c>
      <c r="N612">
        <f>IF(AND(G612&gt;=4,G612&lt;=7),1,IF(AND(G612&gt;=3,G612&lt;=8),0.5,0))</f>
        <v>0.5</v>
      </c>
      <c r="O612">
        <f>IF(AND(F612&gt;=270,F612&lt;=310),1,IF(AND(F612&gt;=250,F612&lt;=330),0.5,0))</f>
        <v>0</v>
      </c>
      <c r="P612">
        <f>IF(AND(E612&gt;=0.8,E612&lt;=1.5),1,IF(AND(E612&gt;=0.5,E612&lt;=2),0.5,0))</f>
        <v>0</v>
      </c>
      <c r="Q612">
        <f>IF(AND(H612&gt;=5000,H612&lt;=6000),1,IF(AND(H612&gt;=4000,H612&lt;5000),0.5,0))</f>
        <v>0</v>
      </c>
      <c r="R612">
        <f>0.35*AVERAGE(L612:M612:N612)+0.3*O612+0.2*P612+0.15*Q612</f>
        <v>5.8333333333333327E-2</v>
      </c>
      <c r="S612" t="str">
        <f>LEFT(K612,1)</f>
        <v/>
      </c>
      <c r="T612">
        <f>IF(S612="G",1,0)</f>
        <v>0</v>
      </c>
      <c r="U612">
        <f>IF(S612="K",1,0)</f>
        <v>0</v>
      </c>
      <c r="V612">
        <f>IF(S612="M",1,0)</f>
        <v>0</v>
      </c>
      <c r="W612">
        <f>IF(S612="F",1,0)</f>
        <v>0</v>
      </c>
    </row>
    <row r="613" spans="1:23" x14ac:dyDescent="0.3">
      <c r="A613" t="s">
        <v>108</v>
      </c>
      <c r="B613">
        <v>2.82</v>
      </c>
      <c r="C613">
        <v>9.3000000000000007</v>
      </c>
      <c r="D613">
        <v>12.563636000000001</v>
      </c>
      <c r="E613">
        <v>0.1079</v>
      </c>
      <c r="F613">
        <v>1143</v>
      </c>
      <c r="G613">
        <f>IF(OR(C613="",B613="",B613=0),"",5.51*(C613/(B613^3)))</f>
        <v>2.2850053563382988</v>
      </c>
      <c r="H613">
        <v>6047</v>
      </c>
      <c r="I613">
        <v>3.3136891310592018</v>
      </c>
      <c r="J613">
        <v>-7.0000000000000007E-2</v>
      </c>
      <c r="L613">
        <f>IF(AND(B613&gt;=0.8,B613&lt;=1.5),1,IF(AND(B613&gt;=0.5,B613&lt;=2),0.5,0))</f>
        <v>0</v>
      </c>
      <c r="M613">
        <f>IF(AND(C613&gt;=0.5,C613&lt;=2),1,IF(AND(C613&gt;=0.1,C613&lt;=5),0.5,0))</f>
        <v>0</v>
      </c>
      <c r="N613">
        <f>IF(AND(G613&gt;=4,G613&lt;=7),1,IF(AND(G613&gt;=3,G613&lt;=8),0.5,0))</f>
        <v>0</v>
      </c>
      <c r="O613">
        <f>IF(AND(F613&gt;=270,F613&lt;=310),1,IF(AND(F613&gt;=250,F613&lt;=330),0.5,0))</f>
        <v>0</v>
      </c>
      <c r="P613">
        <f>IF(AND(E613&gt;=0.8,E613&lt;=1.5),1,IF(AND(E613&gt;=0.5,E613&lt;=2),0.5,0))</f>
        <v>0</v>
      </c>
      <c r="Q613">
        <f>IF(AND(H613&gt;=5000,H613&lt;=6000),1,IF(AND(H613&gt;=4000,H613&lt;5000),0.5,0))</f>
        <v>0</v>
      </c>
      <c r="R613">
        <f>0.35*AVERAGE(L613:M613:N613)+0.3*O613+0.2*P613+0.15*Q613</f>
        <v>0</v>
      </c>
      <c r="S613" t="str">
        <f>LEFT(K613,1)</f>
        <v/>
      </c>
      <c r="T613">
        <f>IF(S613="G",1,0)</f>
        <v>0</v>
      </c>
      <c r="U613">
        <f>IF(S613="K",1,0)</f>
        <v>0</v>
      </c>
      <c r="V613">
        <f>IF(S613="M",1,0)</f>
        <v>0</v>
      </c>
      <c r="W613">
        <f>IF(S613="F",1,0)</f>
        <v>0</v>
      </c>
    </row>
    <row r="614" spans="1:23" x14ac:dyDescent="0.3">
      <c r="A614" t="s">
        <v>107</v>
      </c>
      <c r="B614">
        <v>1.18</v>
      </c>
      <c r="D614">
        <v>1.3888725</v>
      </c>
      <c r="E614">
        <v>1.541E-2</v>
      </c>
      <c r="F614">
        <v>634</v>
      </c>
      <c r="G614" t="str">
        <f>IF(OR(C614="",B614="",B614=0),"",5.51*(C614/(B614^3)))</f>
        <v/>
      </c>
      <c r="H614">
        <v>3200</v>
      </c>
      <c r="I614">
        <v>6.3108708332100466E-3</v>
      </c>
      <c r="J614">
        <v>0.11</v>
      </c>
      <c r="K614" t="s">
        <v>106</v>
      </c>
      <c r="L614">
        <f>IF(AND(B614&gt;=0.8,B614&lt;=1.5),1,IF(AND(B614&gt;=0.5,B614&lt;=2),0.5,0))</f>
        <v>1</v>
      </c>
      <c r="M614">
        <f>IF(AND(C614&gt;=0.5,C614&lt;=2),1,IF(AND(C614&gt;=0.1,C614&lt;=5),0.5,0))</f>
        <v>0</v>
      </c>
      <c r="N614">
        <f>IF(AND(G614&gt;=4,G614&lt;=7),1,IF(AND(G614&gt;=3,G614&lt;=8),0.5,0))</f>
        <v>0</v>
      </c>
      <c r="O614">
        <f>IF(AND(F614&gt;=270,F614&lt;=310),1,IF(AND(F614&gt;=250,F614&lt;=330),0.5,0))</f>
        <v>0</v>
      </c>
      <c r="P614">
        <f>IF(AND(E614&gt;=0.8,E614&lt;=1.5),1,IF(AND(E614&gt;=0.5,E614&lt;=2),0.5,0))</f>
        <v>0</v>
      </c>
      <c r="Q614">
        <f>IF(AND(H614&gt;=5000,H614&lt;=6000),1,IF(AND(H614&gt;=4000,H614&lt;5000),0.5,0))</f>
        <v>0</v>
      </c>
      <c r="R614">
        <f>0.35*AVERAGE(L614:M614:N614)+0.3*O614+0.2*P614+0.15*Q614</f>
        <v>0.11666666666666665</v>
      </c>
      <c r="S614" t="str">
        <f>LEFT(K614,1)</f>
        <v>M</v>
      </c>
      <c r="T614">
        <f>IF(S614="G",1,0)</f>
        <v>0</v>
      </c>
      <c r="U614">
        <f>IF(S614="K",1,0)</f>
        <v>0</v>
      </c>
      <c r="V614">
        <f>IF(S614="M",1,0)</f>
        <v>1</v>
      </c>
      <c r="W614">
        <f>IF(S614="F",1,0)</f>
        <v>0</v>
      </c>
    </row>
    <row r="615" spans="1:23" x14ac:dyDescent="0.3">
      <c r="A615" t="s">
        <v>105</v>
      </c>
      <c r="B615">
        <v>4.8704000000000001</v>
      </c>
      <c r="D615">
        <v>5.6904760000000003</v>
      </c>
      <c r="E615">
        <v>5.9900000000000002E-2</v>
      </c>
      <c r="G615" t="str">
        <f>IF(OR(C615="",B615="",B615=0),"",5.51*(C615/(B615^3)))</f>
        <v/>
      </c>
      <c r="H615">
        <v>5660</v>
      </c>
      <c r="I615">
        <v>0.95985815470696856</v>
      </c>
      <c r="K615" t="s">
        <v>53</v>
      </c>
      <c r="L615">
        <f>IF(AND(B615&gt;=0.8,B615&lt;=1.5),1,IF(AND(B615&gt;=0.5,B615&lt;=2),0.5,0))</f>
        <v>0</v>
      </c>
      <c r="M615">
        <f>IF(AND(C615&gt;=0.5,C615&lt;=2),1,IF(AND(C615&gt;=0.1,C615&lt;=5),0.5,0))</f>
        <v>0</v>
      </c>
      <c r="N615">
        <f>IF(AND(G615&gt;=4,G615&lt;=7),1,IF(AND(G615&gt;=3,G615&lt;=8),0.5,0))</f>
        <v>0</v>
      </c>
      <c r="O615">
        <f>IF(AND(F615&gt;=270,F615&lt;=310),1,IF(AND(F615&gt;=250,F615&lt;=330),0.5,0))</f>
        <v>0</v>
      </c>
      <c r="P615">
        <f>IF(AND(E615&gt;=0.8,E615&lt;=1.5),1,IF(AND(E615&gt;=0.5,E615&lt;=2),0.5,0))</f>
        <v>0</v>
      </c>
      <c r="Q615">
        <f>IF(AND(H615&gt;=5000,H615&lt;=6000),1,IF(AND(H615&gt;=4000,H615&lt;5000),0.5,0))</f>
        <v>1</v>
      </c>
      <c r="R615">
        <f>0.35*AVERAGE(L615:M615:N615)+0.3*O615+0.2*P615+0.15*Q615</f>
        <v>0.15</v>
      </c>
      <c r="S615" t="str">
        <f>LEFT(K615,1)</f>
        <v>G</v>
      </c>
      <c r="T615">
        <f>IF(S615="G",1,0)</f>
        <v>1</v>
      </c>
      <c r="U615">
        <f>IF(S615="K",1,0)</f>
        <v>0</v>
      </c>
      <c r="V615">
        <f>IF(S615="M",1,0)</f>
        <v>0</v>
      </c>
      <c r="W615">
        <f>IF(S615="F",1,0)</f>
        <v>0</v>
      </c>
    </row>
    <row r="616" spans="1:23" x14ac:dyDescent="0.3">
      <c r="A616" t="s">
        <v>104</v>
      </c>
      <c r="B616">
        <v>4.8326000000000002</v>
      </c>
      <c r="D616">
        <v>8.5388780000000004</v>
      </c>
      <c r="E616">
        <v>7.8600000000000003E-2</v>
      </c>
      <c r="G616" t="str">
        <f>IF(OR(C616="",B616="",B616=0),"",5.51*(C616/(B616^3)))</f>
        <v/>
      </c>
      <c r="H616">
        <v>5660</v>
      </c>
      <c r="I616">
        <v>0.95985815470696856</v>
      </c>
      <c r="K616" t="s">
        <v>53</v>
      </c>
      <c r="L616">
        <f>IF(AND(B616&gt;=0.8,B616&lt;=1.5),1,IF(AND(B616&gt;=0.5,B616&lt;=2),0.5,0))</f>
        <v>0</v>
      </c>
      <c r="M616">
        <f>IF(AND(C616&gt;=0.5,C616&lt;=2),1,IF(AND(C616&gt;=0.1,C616&lt;=5),0.5,0))</f>
        <v>0</v>
      </c>
      <c r="N616">
        <f>IF(AND(G616&gt;=4,G616&lt;=7),1,IF(AND(G616&gt;=3,G616&lt;=8),0.5,0))</f>
        <v>0</v>
      </c>
      <c r="O616">
        <f>IF(AND(F616&gt;=270,F616&lt;=310),1,IF(AND(F616&gt;=250,F616&lt;=330),0.5,0))</f>
        <v>0</v>
      </c>
      <c r="P616">
        <f>IF(AND(E616&gt;=0.8,E616&lt;=1.5),1,IF(AND(E616&gt;=0.5,E616&lt;=2),0.5,0))</f>
        <v>0</v>
      </c>
      <c r="Q616">
        <f>IF(AND(H616&gt;=5000,H616&lt;=6000),1,IF(AND(H616&gt;=4000,H616&lt;5000),0.5,0))</f>
        <v>1</v>
      </c>
      <c r="R616">
        <f>0.35*AVERAGE(L616:M616:N616)+0.3*O616+0.2*P616+0.15*Q616</f>
        <v>0.15</v>
      </c>
      <c r="S616" t="str">
        <f>LEFT(K616,1)</f>
        <v>G</v>
      </c>
      <c r="T616">
        <f>IF(S616="G",1,0)</f>
        <v>1</v>
      </c>
      <c r="U616">
        <f>IF(S616="K",1,0)</f>
        <v>0</v>
      </c>
      <c r="V616">
        <f>IF(S616="M",1,0)</f>
        <v>0</v>
      </c>
      <c r="W616">
        <f>IF(S616="F",1,0)</f>
        <v>0</v>
      </c>
    </row>
    <row r="617" spans="1:23" x14ac:dyDescent="0.3">
      <c r="A617" t="s">
        <v>103</v>
      </c>
      <c r="B617">
        <v>14.3474953</v>
      </c>
      <c r="C617">
        <v>333.71982735</v>
      </c>
      <c r="D617">
        <v>2.3926789999999998</v>
      </c>
      <c r="E617">
        <v>3.5999999999999997E-2</v>
      </c>
      <c r="F617">
        <v>1750</v>
      </c>
      <c r="G617">
        <f>IF(OR(C617="",B617="",B617=0),"",5.51*(C617/(B617^3)))</f>
        <v>0.62259458002408474</v>
      </c>
      <c r="H617">
        <v>6110</v>
      </c>
      <c r="I617">
        <v>2.851074629553811</v>
      </c>
      <c r="J617">
        <v>0.28000000000000003</v>
      </c>
      <c r="K617" t="s">
        <v>18</v>
      </c>
      <c r="L617">
        <f>IF(AND(B617&gt;=0.8,B617&lt;=1.5),1,IF(AND(B617&gt;=0.5,B617&lt;=2),0.5,0))</f>
        <v>0</v>
      </c>
      <c r="M617">
        <f>IF(AND(C617&gt;=0.5,C617&lt;=2),1,IF(AND(C617&gt;=0.1,C617&lt;=5),0.5,0))</f>
        <v>0</v>
      </c>
      <c r="N617">
        <f>IF(AND(G617&gt;=4,G617&lt;=7),1,IF(AND(G617&gt;=3,G617&lt;=8),0.5,0))</f>
        <v>0</v>
      </c>
      <c r="O617">
        <f>IF(AND(F617&gt;=270,F617&lt;=310),1,IF(AND(F617&gt;=250,F617&lt;=330),0.5,0))</f>
        <v>0</v>
      </c>
      <c r="P617">
        <f>IF(AND(E617&gt;=0.8,E617&lt;=1.5),1,IF(AND(E617&gt;=0.5,E617&lt;=2),0.5,0))</f>
        <v>0</v>
      </c>
      <c r="Q617">
        <f>IF(AND(H617&gt;=5000,H617&lt;=6000),1,IF(AND(H617&gt;=4000,H617&lt;5000),0.5,0))</f>
        <v>0</v>
      </c>
      <c r="R617">
        <f>0.35*AVERAGE(L617:M617:N617)+0.3*O617+0.2*P617+0.15*Q617</f>
        <v>0</v>
      </c>
      <c r="S617" t="str">
        <f>LEFT(K617,1)</f>
        <v>F</v>
      </c>
      <c r="T617">
        <f>IF(S617="G",1,0)</f>
        <v>0</v>
      </c>
      <c r="U617">
        <f>IF(S617="K",1,0)</f>
        <v>0</v>
      </c>
      <c r="V617">
        <f>IF(S617="M",1,0)</f>
        <v>0</v>
      </c>
      <c r="W617">
        <f>IF(S617="F",1,0)</f>
        <v>1</v>
      </c>
    </row>
    <row r="618" spans="1:23" x14ac:dyDescent="0.3">
      <c r="A618" t="s">
        <v>102</v>
      </c>
      <c r="B618">
        <v>18.97680433</v>
      </c>
      <c r="C618">
        <v>138.25535704999999</v>
      </c>
      <c r="D618">
        <v>4.6615982999999996</v>
      </c>
      <c r="E618">
        <v>6.7799999999999999E-2</v>
      </c>
      <c r="F618">
        <v>1666</v>
      </c>
      <c r="G618">
        <f>IF(OR(C618="",B618="",B618=0),"",5.51*(C618/(B618^3)))</f>
        <v>0.11147162396860359</v>
      </c>
      <c r="H618">
        <v>6850</v>
      </c>
      <c r="I618">
        <v>5.9258125757291271</v>
      </c>
      <c r="J618">
        <v>-0.1</v>
      </c>
      <c r="K618" t="s">
        <v>101</v>
      </c>
      <c r="L618">
        <f>IF(AND(B618&gt;=0.8,B618&lt;=1.5),1,IF(AND(B618&gt;=0.5,B618&lt;=2),0.5,0))</f>
        <v>0</v>
      </c>
      <c r="M618">
        <f>IF(AND(C618&gt;=0.5,C618&lt;=2),1,IF(AND(C618&gt;=0.1,C618&lt;=5),0.5,0))</f>
        <v>0</v>
      </c>
      <c r="N618">
        <f>IF(AND(G618&gt;=4,G618&lt;=7),1,IF(AND(G618&gt;=3,G618&lt;=8),0.5,0))</f>
        <v>0</v>
      </c>
      <c r="O618">
        <f>IF(AND(F618&gt;=270,F618&lt;=310),1,IF(AND(F618&gt;=250,F618&lt;=330),0.5,0))</f>
        <v>0</v>
      </c>
      <c r="P618">
        <f>IF(AND(E618&gt;=0.8,E618&lt;=1.5),1,IF(AND(E618&gt;=0.5,E618&lt;=2),0.5,0))</f>
        <v>0</v>
      </c>
      <c r="Q618">
        <f>IF(AND(H618&gt;=5000,H618&lt;=6000),1,IF(AND(H618&gt;=4000,H618&lt;5000),0.5,0))</f>
        <v>0</v>
      </c>
      <c r="R618">
        <f>0.35*AVERAGE(L618:M618:N618)+0.3*O618+0.2*P618+0.15*Q618</f>
        <v>0</v>
      </c>
      <c r="S618" t="str">
        <f>LEFT(K618,1)</f>
        <v>F</v>
      </c>
      <c r="T618">
        <f>IF(S618="G",1,0)</f>
        <v>0</v>
      </c>
      <c r="U618">
        <f>IF(S618="K",1,0)</f>
        <v>0</v>
      </c>
      <c r="V618">
        <f>IF(S618="M",1,0)</f>
        <v>0</v>
      </c>
      <c r="W618">
        <f>IF(S618="F",1,0)</f>
        <v>1</v>
      </c>
    </row>
    <row r="619" spans="1:23" x14ac:dyDescent="0.3">
      <c r="A619" t="s">
        <v>100</v>
      </c>
      <c r="B619">
        <v>3.76</v>
      </c>
      <c r="D619">
        <v>5.0988179000000002</v>
      </c>
      <c r="E619">
        <v>4.8250000000000001E-2</v>
      </c>
      <c r="F619">
        <v>603.6</v>
      </c>
      <c r="G619" t="str">
        <f>IF(OR(C619="",B619="",B619=0),"",5.51*(C619/(B619^3)))</f>
        <v/>
      </c>
      <c r="H619">
        <v>3708</v>
      </c>
      <c r="I619">
        <v>5.1306705755171961E-2</v>
      </c>
      <c r="J619">
        <v>0.35</v>
      </c>
      <c r="K619" t="s">
        <v>0</v>
      </c>
      <c r="L619">
        <f>IF(AND(B619&gt;=0.8,B619&lt;=1.5),1,IF(AND(B619&gt;=0.5,B619&lt;=2),0.5,0))</f>
        <v>0</v>
      </c>
      <c r="M619">
        <f>IF(AND(C619&gt;=0.5,C619&lt;=2),1,IF(AND(C619&gt;=0.1,C619&lt;=5),0.5,0))</f>
        <v>0</v>
      </c>
      <c r="N619">
        <f>IF(AND(G619&gt;=4,G619&lt;=7),1,IF(AND(G619&gt;=3,G619&lt;=8),0.5,0))</f>
        <v>0</v>
      </c>
      <c r="O619">
        <f>IF(AND(F619&gt;=270,F619&lt;=310),1,IF(AND(F619&gt;=250,F619&lt;=330),0.5,0))</f>
        <v>0</v>
      </c>
      <c r="P619">
        <f>IF(AND(E619&gt;=0.8,E619&lt;=1.5),1,IF(AND(E619&gt;=0.5,E619&lt;=2),0.5,0))</f>
        <v>0</v>
      </c>
      <c r="Q619">
        <f>IF(AND(H619&gt;=5000,H619&lt;=6000),1,IF(AND(H619&gt;=4000,H619&lt;5000),0.5,0))</f>
        <v>0</v>
      </c>
      <c r="R619">
        <f>0.35*AVERAGE(L619:M619:N619)+0.3*O619+0.2*P619+0.15*Q619</f>
        <v>0</v>
      </c>
      <c r="S619" t="str">
        <f>LEFT(K619,1)</f>
        <v>M</v>
      </c>
      <c r="T619">
        <f>IF(S619="G",1,0)</f>
        <v>0</v>
      </c>
      <c r="U619">
        <f>IF(S619="K",1,0)</f>
        <v>0</v>
      </c>
      <c r="V619">
        <f>IF(S619="M",1,0)</f>
        <v>1</v>
      </c>
      <c r="W619">
        <f>IF(S619="F",1,0)</f>
        <v>0</v>
      </c>
    </row>
    <row r="620" spans="1:23" x14ac:dyDescent="0.3">
      <c r="A620" t="s">
        <v>99</v>
      </c>
      <c r="B620">
        <v>9.2362000999999996</v>
      </c>
      <c r="C620">
        <v>96.302007320000001</v>
      </c>
      <c r="D620">
        <v>6.4025129999999999</v>
      </c>
      <c r="E620">
        <v>7.0800000000000002E-2</v>
      </c>
      <c r="F620">
        <v>1388</v>
      </c>
      <c r="G620">
        <f>IF(OR(C620="",B620="",B620=0),"",5.51*(C620/(B620^3)))</f>
        <v>0.67345245250168262</v>
      </c>
      <c r="H620">
        <v>6400</v>
      </c>
      <c r="I620">
        <v>3.0138568844290301</v>
      </c>
      <c r="J620">
        <v>0.09</v>
      </c>
      <c r="K620" t="s">
        <v>98</v>
      </c>
      <c r="L620">
        <f>IF(AND(B620&gt;=0.8,B620&lt;=1.5),1,IF(AND(B620&gt;=0.5,B620&lt;=2),0.5,0))</f>
        <v>0</v>
      </c>
      <c r="M620">
        <f>IF(AND(C620&gt;=0.5,C620&lt;=2),1,IF(AND(C620&gt;=0.1,C620&lt;=5),0.5,0))</f>
        <v>0</v>
      </c>
      <c r="N620">
        <f>IF(AND(G620&gt;=4,G620&lt;=7),1,IF(AND(G620&gt;=3,G620&lt;=8),0.5,0))</f>
        <v>0</v>
      </c>
      <c r="O620">
        <f>IF(AND(F620&gt;=270,F620&lt;=310),1,IF(AND(F620&gt;=250,F620&lt;=330),0.5,0))</f>
        <v>0</v>
      </c>
      <c r="P620">
        <f>IF(AND(E620&gt;=0.8,E620&lt;=1.5),1,IF(AND(E620&gt;=0.5,E620&lt;=2),0.5,0))</f>
        <v>0</v>
      </c>
      <c r="Q620">
        <f>IF(AND(H620&gt;=5000,H620&lt;=6000),1,IF(AND(H620&gt;=4000,H620&lt;5000),0.5,0))</f>
        <v>0</v>
      </c>
      <c r="R620">
        <f>0.35*AVERAGE(L620:M620:N620)+0.3*O620+0.2*P620+0.15*Q620</f>
        <v>0</v>
      </c>
      <c r="S620" t="str">
        <f>LEFT(K620,1)</f>
        <v>F</v>
      </c>
      <c r="T620">
        <f>IF(S620="G",1,0)</f>
        <v>0</v>
      </c>
      <c r="U620">
        <f>IF(S620="K",1,0)</f>
        <v>0</v>
      </c>
      <c r="V620">
        <f>IF(S620="M",1,0)</f>
        <v>0</v>
      </c>
      <c r="W620">
        <f>IF(S620="F",1,0)</f>
        <v>1</v>
      </c>
    </row>
    <row r="621" spans="1:23" x14ac:dyDescent="0.3">
      <c r="A621" t="s">
        <v>97</v>
      </c>
      <c r="B621">
        <v>5.07</v>
      </c>
      <c r="D621">
        <v>3.855219</v>
      </c>
      <c r="E621">
        <v>4.018E-2</v>
      </c>
      <c r="F621">
        <v>714</v>
      </c>
      <c r="G621" t="str">
        <f>IF(OR(C621="",B621="",B621=0),"",5.51*(C621/(B621^3)))</f>
        <v/>
      </c>
      <c r="H621">
        <v>3895</v>
      </c>
      <c r="I621">
        <v>6.8511687525499576E-2</v>
      </c>
      <c r="J621">
        <v>-0.12</v>
      </c>
      <c r="K621" t="s">
        <v>96</v>
      </c>
      <c r="L621">
        <f>IF(AND(B621&gt;=0.8,B621&lt;=1.5),1,IF(AND(B621&gt;=0.5,B621&lt;=2),0.5,0))</f>
        <v>0</v>
      </c>
      <c r="M621">
        <f>IF(AND(C621&gt;=0.5,C621&lt;=2),1,IF(AND(C621&gt;=0.1,C621&lt;=5),0.5,0))</f>
        <v>0</v>
      </c>
      <c r="N621">
        <f>IF(AND(G621&gt;=4,G621&lt;=7),1,IF(AND(G621&gt;=3,G621&lt;=8),0.5,0))</f>
        <v>0</v>
      </c>
      <c r="O621">
        <f>IF(AND(F621&gt;=270,F621&lt;=310),1,IF(AND(F621&gt;=250,F621&lt;=330),0.5,0))</f>
        <v>0</v>
      </c>
      <c r="P621">
        <f>IF(AND(E621&gt;=0.8,E621&lt;=1.5),1,IF(AND(E621&gt;=0.5,E621&lt;=2),0.5,0))</f>
        <v>0</v>
      </c>
      <c r="Q621">
        <f>IF(AND(H621&gt;=5000,H621&lt;=6000),1,IF(AND(H621&gt;=4000,H621&lt;5000),0.5,0))</f>
        <v>0</v>
      </c>
      <c r="R621">
        <f>0.35*AVERAGE(L621:M621:N621)+0.3*O621+0.2*P621+0.15*Q621</f>
        <v>0</v>
      </c>
      <c r="S621" t="str">
        <f>LEFT(K621,1)</f>
        <v>M</v>
      </c>
      <c r="T621">
        <f>IF(S621="G",1,0)</f>
        <v>0</v>
      </c>
      <c r="U621">
        <f>IF(S621="K",1,0)</f>
        <v>0</v>
      </c>
      <c r="V621">
        <f>IF(S621="M",1,0)</f>
        <v>1</v>
      </c>
      <c r="W621">
        <f>IF(S621="F",1,0)</f>
        <v>0</v>
      </c>
    </row>
    <row r="622" spans="1:23" x14ac:dyDescent="0.3">
      <c r="A622" t="s">
        <v>95</v>
      </c>
      <c r="B622">
        <v>1.079</v>
      </c>
      <c r="C622">
        <v>1.44</v>
      </c>
      <c r="D622">
        <v>0.23818244</v>
      </c>
      <c r="G622">
        <f>IF(OR(C622="",B622="",B622=0),"",5.51*(C622/(B622^3)))</f>
        <v>6.3161110459281433</v>
      </c>
      <c r="H622">
        <v>3421</v>
      </c>
      <c r="I622">
        <v>1.6823083280164162E-2</v>
      </c>
      <c r="J622">
        <v>-0.14000000000000001</v>
      </c>
      <c r="L622">
        <f>IF(AND(B622&gt;=0.8,B622&lt;=1.5),1,IF(AND(B622&gt;=0.5,B622&lt;=2),0.5,0))</f>
        <v>1</v>
      </c>
      <c r="M622">
        <f>IF(AND(C622&gt;=0.5,C622&lt;=2),1,IF(AND(C622&gt;=0.1,C622&lt;=5),0.5,0))</f>
        <v>1</v>
      </c>
      <c r="N622">
        <f>IF(AND(G622&gt;=4,G622&lt;=7),1,IF(AND(G622&gt;=3,G622&lt;=8),0.5,0))</f>
        <v>1</v>
      </c>
      <c r="O622">
        <f>IF(AND(F622&gt;=270,F622&lt;=310),1,IF(AND(F622&gt;=250,F622&lt;=330),0.5,0))</f>
        <v>0</v>
      </c>
      <c r="P622">
        <f>IF(AND(E622&gt;=0.8,E622&lt;=1.5),1,IF(AND(E622&gt;=0.5,E622&lt;=2),0.5,0))</f>
        <v>0</v>
      </c>
      <c r="Q622">
        <f>IF(AND(H622&gt;=5000,H622&lt;=6000),1,IF(AND(H622&gt;=4000,H622&lt;5000),0.5,0))</f>
        <v>0</v>
      </c>
      <c r="R622">
        <f>0.35*AVERAGE(L622:M622:N622)+0.3*O622+0.2*P622+0.15*Q622</f>
        <v>0.35</v>
      </c>
      <c r="S622" t="str">
        <f>LEFT(K622,1)</f>
        <v/>
      </c>
      <c r="T622">
        <f>IF(S622="G",1,0)</f>
        <v>0</v>
      </c>
      <c r="U622">
        <f>IF(S622="K",1,0)</f>
        <v>0</v>
      </c>
      <c r="V622">
        <f>IF(S622="M",1,0)</f>
        <v>0</v>
      </c>
      <c r="W622">
        <f>IF(S622="F",1,0)</f>
        <v>0</v>
      </c>
    </row>
    <row r="623" spans="1:23" x14ac:dyDescent="0.3">
      <c r="A623" t="s">
        <v>94</v>
      </c>
      <c r="B623">
        <v>11.881539999999999</v>
      </c>
      <c r="C623">
        <v>2011.8639000000001</v>
      </c>
      <c r="D623">
        <v>3.4095675000000001</v>
      </c>
      <c r="E623">
        <v>4.8599999999999997E-2</v>
      </c>
      <c r="F623">
        <v>1586</v>
      </c>
      <c r="G623">
        <f>IF(OR(C623="",B623="",B623=0),"",5.51*(C623/(B623^3)))</f>
        <v>6.6089428058569171</v>
      </c>
      <c r="H623">
        <v>6250</v>
      </c>
      <c r="I623">
        <v>2.4765921272126938</v>
      </c>
      <c r="J623">
        <v>0.25800000000000001</v>
      </c>
      <c r="L623">
        <f>IF(AND(B623&gt;=0.8,B623&lt;=1.5),1,IF(AND(B623&gt;=0.5,B623&lt;=2),0.5,0))</f>
        <v>0</v>
      </c>
      <c r="M623">
        <f>IF(AND(C623&gt;=0.5,C623&lt;=2),1,IF(AND(C623&gt;=0.1,C623&lt;=5),0.5,0))</f>
        <v>0</v>
      </c>
      <c r="N623">
        <f>IF(AND(G623&gt;=4,G623&lt;=7),1,IF(AND(G623&gt;=3,G623&lt;=8),0.5,0))</f>
        <v>1</v>
      </c>
      <c r="O623">
        <f>IF(AND(F623&gt;=270,F623&lt;=310),1,IF(AND(F623&gt;=250,F623&lt;=330),0.5,0))</f>
        <v>0</v>
      </c>
      <c r="P623">
        <f>IF(AND(E623&gt;=0.8,E623&lt;=1.5),1,IF(AND(E623&gt;=0.5,E623&lt;=2),0.5,0))</f>
        <v>0</v>
      </c>
      <c r="Q623">
        <f>IF(AND(H623&gt;=5000,H623&lt;=6000),1,IF(AND(H623&gt;=4000,H623&lt;5000),0.5,0))</f>
        <v>0</v>
      </c>
      <c r="R623">
        <f>0.35*AVERAGE(L623:M623:N623)+0.3*O623+0.2*P623+0.15*Q623</f>
        <v>0.11666666666666665</v>
      </c>
      <c r="S623" t="str">
        <f>LEFT(K623,1)</f>
        <v/>
      </c>
      <c r="T623">
        <f>IF(S623="G",1,0)</f>
        <v>0</v>
      </c>
      <c r="U623">
        <f>IF(S623="K",1,0)</f>
        <v>0</v>
      </c>
      <c r="V623">
        <f>IF(S623="M",1,0)</f>
        <v>0</v>
      </c>
      <c r="W623">
        <f>IF(S623="F",1,0)</f>
        <v>0</v>
      </c>
    </row>
    <row r="624" spans="1:23" x14ac:dyDescent="0.3">
      <c r="A624" t="s">
        <v>93</v>
      </c>
      <c r="B624">
        <v>11.59</v>
      </c>
      <c r="C624">
        <v>2493</v>
      </c>
      <c r="D624">
        <v>9.4852360000000004</v>
      </c>
      <c r="E624">
        <v>7.6100000000000001E-2</v>
      </c>
      <c r="F624">
        <v>541</v>
      </c>
      <c r="G624">
        <f>IF(OR(C624="",B624="",B624=0),"",5.51*(C624/(B624^3)))</f>
        <v>8.8231481075923455</v>
      </c>
      <c r="H624">
        <v>3977</v>
      </c>
      <c r="I624">
        <v>8.3242822852632584E-2</v>
      </c>
      <c r="J624">
        <v>0.44</v>
      </c>
      <c r="L624">
        <f>IF(AND(B624&gt;=0.8,B624&lt;=1.5),1,IF(AND(B624&gt;=0.5,B624&lt;=2),0.5,0))</f>
        <v>0</v>
      </c>
      <c r="M624">
        <f>IF(AND(C624&gt;=0.5,C624&lt;=2),1,IF(AND(C624&gt;=0.1,C624&lt;=5),0.5,0))</f>
        <v>0</v>
      </c>
      <c r="N624">
        <f>IF(AND(G624&gt;=4,G624&lt;=7),1,IF(AND(G624&gt;=3,G624&lt;=8),0.5,0))</f>
        <v>0</v>
      </c>
      <c r="O624">
        <f>IF(AND(F624&gt;=270,F624&lt;=310),1,IF(AND(F624&gt;=250,F624&lt;=330),0.5,0))</f>
        <v>0</v>
      </c>
      <c r="P624">
        <f>IF(AND(E624&gt;=0.8,E624&lt;=1.5),1,IF(AND(E624&gt;=0.5,E624&lt;=2),0.5,0))</f>
        <v>0</v>
      </c>
      <c r="Q624">
        <f>IF(AND(H624&gt;=5000,H624&lt;=6000),1,IF(AND(H624&gt;=4000,H624&lt;5000),0.5,0))</f>
        <v>0</v>
      </c>
      <c r="R624">
        <f>0.35*AVERAGE(L624:M624:N624)+0.3*O624+0.2*P624+0.15*Q624</f>
        <v>0</v>
      </c>
      <c r="S624" t="str">
        <f>LEFT(K624,1)</f>
        <v/>
      </c>
      <c r="T624">
        <f>IF(S624="G",1,0)</f>
        <v>0</v>
      </c>
      <c r="U624">
        <f>IF(S624="K",1,0)</f>
        <v>0</v>
      </c>
      <c r="V624">
        <f>IF(S624="M",1,0)</f>
        <v>0</v>
      </c>
      <c r="W624">
        <f>IF(S624="F",1,0)</f>
        <v>0</v>
      </c>
    </row>
    <row r="625" spans="1:23" x14ac:dyDescent="0.3">
      <c r="A625" t="s">
        <v>92</v>
      </c>
      <c r="B625">
        <v>1.0589999999999999</v>
      </c>
      <c r="C625">
        <v>1.17</v>
      </c>
      <c r="D625">
        <v>0.279221</v>
      </c>
      <c r="F625">
        <v>1216</v>
      </c>
      <c r="G625">
        <f>IF(OR(C625="",B625="",B625=0),"",5.51*(C625/(B625^3)))</f>
        <v>5.4281217521873959</v>
      </c>
      <c r="H625">
        <v>3247</v>
      </c>
      <c r="I625">
        <v>8.5615864280233593E-3</v>
      </c>
      <c r="J625">
        <v>-0.32</v>
      </c>
      <c r="L625">
        <f>IF(AND(B625&gt;=0.8,B625&lt;=1.5),1,IF(AND(B625&gt;=0.5,B625&lt;=2),0.5,0))</f>
        <v>1</v>
      </c>
      <c r="M625">
        <f>IF(AND(C625&gt;=0.5,C625&lt;=2),1,IF(AND(C625&gt;=0.1,C625&lt;=5),0.5,0))</f>
        <v>1</v>
      </c>
      <c r="N625">
        <f>IF(AND(G625&gt;=4,G625&lt;=7),1,IF(AND(G625&gt;=3,G625&lt;=8),0.5,0))</f>
        <v>1</v>
      </c>
      <c r="O625">
        <f>IF(AND(F625&gt;=270,F625&lt;=310),1,IF(AND(F625&gt;=250,F625&lt;=330),0.5,0))</f>
        <v>0</v>
      </c>
      <c r="P625">
        <f>IF(AND(E625&gt;=0.8,E625&lt;=1.5),1,IF(AND(E625&gt;=0.5,E625&lt;=2),0.5,0))</f>
        <v>0</v>
      </c>
      <c r="Q625">
        <f>IF(AND(H625&gt;=5000,H625&lt;=6000),1,IF(AND(H625&gt;=4000,H625&lt;5000),0.5,0))</f>
        <v>0</v>
      </c>
      <c r="R625">
        <f>0.35*AVERAGE(L625:M625:N625)+0.3*O625+0.2*P625+0.15*Q625</f>
        <v>0.35</v>
      </c>
      <c r="S625" t="str">
        <f>LEFT(K625,1)</f>
        <v/>
      </c>
      <c r="T625">
        <f>IF(S625="G",1,0)</f>
        <v>0</v>
      </c>
      <c r="U625">
        <f>IF(S625="K",1,0)</f>
        <v>0</v>
      </c>
      <c r="V625">
        <f>IF(S625="M",1,0)</f>
        <v>0</v>
      </c>
      <c r="W625">
        <f>IF(S625="F",1,0)</f>
        <v>0</v>
      </c>
    </row>
    <row r="626" spans="1:23" x14ac:dyDescent="0.3">
      <c r="A626" t="s">
        <v>91</v>
      </c>
      <c r="B626">
        <v>10.89</v>
      </c>
      <c r="C626">
        <v>3179</v>
      </c>
      <c r="D626">
        <v>6.8500246000000002</v>
      </c>
      <c r="E626">
        <v>5.7630000000000001E-2</v>
      </c>
      <c r="F626">
        <v>495</v>
      </c>
      <c r="G626">
        <f>IF(OR(C626="",B626="",B626=0),"",5.51*(C626/(B626^3)))</f>
        <v>13.563085125187488</v>
      </c>
      <c r="H626">
        <v>3539</v>
      </c>
      <c r="I626">
        <v>3.3791250245632606E-2</v>
      </c>
      <c r="J626">
        <v>0.08</v>
      </c>
      <c r="L626">
        <f>IF(AND(B626&gt;=0.8,B626&lt;=1.5),1,IF(AND(B626&gt;=0.5,B626&lt;=2),0.5,0))</f>
        <v>0</v>
      </c>
      <c r="M626">
        <f>IF(AND(C626&gt;=0.5,C626&lt;=2),1,IF(AND(C626&gt;=0.1,C626&lt;=5),0.5,0))</f>
        <v>0</v>
      </c>
      <c r="N626">
        <f>IF(AND(G626&gt;=4,G626&lt;=7),1,IF(AND(G626&gt;=3,G626&lt;=8),0.5,0))</f>
        <v>0</v>
      </c>
      <c r="O626">
        <f>IF(AND(F626&gt;=270,F626&lt;=310),1,IF(AND(F626&gt;=250,F626&lt;=330),0.5,0))</f>
        <v>0</v>
      </c>
      <c r="P626">
        <f>IF(AND(E626&gt;=0.8,E626&lt;=1.5),1,IF(AND(E626&gt;=0.5,E626&lt;=2),0.5,0))</f>
        <v>0</v>
      </c>
      <c r="Q626">
        <f>IF(AND(H626&gt;=5000,H626&lt;=6000),1,IF(AND(H626&gt;=4000,H626&lt;5000),0.5,0))</f>
        <v>0</v>
      </c>
      <c r="R626">
        <f>0.35*AVERAGE(L626:M626:N626)+0.3*O626+0.2*P626+0.15*Q626</f>
        <v>0</v>
      </c>
      <c r="S626" t="str">
        <f>LEFT(K626,1)</f>
        <v/>
      </c>
      <c r="T626">
        <f>IF(S626="G",1,0)</f>
        <v>0</v>
      </c>
      <c r="U626">
        <f>IF(S626="K",1,0)</f>
        <v>0</v>
      </c>
      <c r="V626">
        <f>IF(S626="M",1,0)</f>
        <v>0</v>
      </c>
      <c r="W626">
        <f>IF(S626="F",1,0)</f>
        <v>0</v>
      </c>
    </row>
    <row r="627" spans="1:23" x14ac:dyDescent="0.3">
      <c r="A627" t="s">
        <v>90</v>
      </c>
      <c r="B627">
        <v>11.29</v>
      </c>
      <c r="C627">
        <v>331</v>
      </c>
      <c r="D627">
        <v>1.79058695</v>
      </c>
      <c r="E627">
        <v>2.2919999999999999E-2</v>
      </c>
      <c r="F627">
        <v>745</v>
      </c>
      <c r="G627">
        <f>IF(OR(C627="",B627="",B627=0),"",5.51*(C627/(B627^3)))</f>
        <v>1.2673534950676042</v>
      </c>
      <c r="H627">
        <v>3444</v>
      </c>
      <c r="I627">
        <v>2.6361785456418672E-2</v>
      </c>
      <c r="K627" t="s">
        <v>10</v>
      </c>
      <c r="L627">
        <f>IF(AND(B627&gt;=0.8,B627&lt;=1.5),1,IF(AND(B627&gt;=0.5,B627&lt;=2),0.5,0))</f>
        <v>0</v>
      </c>
      <c r="M627">
        <f>IF(AND(C627&gt;=0.5,C627&lt;=2),1,IF(AND(C627&gt;=0.1,C627&lt;=5),0.5,0))</f>
        <v>0</v>
      </c>
      <c r="N627">
        <f>IF(AND(G627&gt;=4,G627&lt;=7),1,IF(AND(G627&gt;=3,G627&lt;=8),0.5,0))</f>
        <v>0</v>
      </c>
      <c r="O627">
        <f>IF(AND(F627&gt;=270,F627&lt;=310),1,IF(AND(F627&gt;=250,F627&lt;=330),0.5,0))</f>
        <v>0</v>
      </c>
      <c r="P627">
        <f>IF(AND(E627&gt;=0.8,E627&lt;=1.5),1,IF(AND(E627&gt;=0.5,E627&lt;=2),0.5,0))</f>
        <v>0</v>
      </c>
      <c r="Q627">
        <f>IF(AND(H627&gt;=5000,H627&lt;=6000),1,IF(AND(H627&gt;=4000,H627&lt;5000),0.5,0))</f>
        <v>0</v>
      </c>
      <c r="R627">
        <f>0.35*AVERAGE(L627:M627:N627)+0.3*O627+0.2*P627+0.15*Q627</f>
        <v>0</v>
      </c>
      <c r="S627" t="str">
        <f>LEFT(K627,1)</f>
        <v>M</v>
      </c>
      <c r="T627">
        <f>IF(S627="G",1,0)</f>
        <v>0</v>
      </c>
      <c r="U627">
        <f>IF(S627="K",1,0)</f>
        <v>0</v>
      </c>
      <c r="V627">
        <f>IF(S627="M",1,0)</f>
        <v>1</v>
      </c>
      <c r="W627">
        <f>IF(S627="F",1,0)</f>
        <v>0</v>
      </c>
    </row>
    <row r="628" spans="1:23" x14ac:dyDescent="0.3">
      <c r="A628" t="s">
        <v>89</v>
      </c>
      <c r="B628">
        <v>19.279446799999999</v>
      </c>
      <c r="C628">
        <v>181.16219199</v>
      </c>
      <c r="D628">
        <v>5.0037770000000004</v>
      </c>
      <c r="F628">
        <v>1816</v>
      </c>
      <c r="G628">
        <f>IF(OR(C628="",B628="",B628=0),"",5.51*(C628/(B628^3)))</f>
        <v>0.13929497863865409</v>
      </c>
      <c r="H628">
        <v>6460</v>
      </c>
      <c r="I628">
        <v>6.7730046270080617</v>
      </c>
      <c r="J628">
        <v>7.1999999999999995E-2</v>
      </c>
      <c r="L628">
        <f>IF(AND(B628&gt;=0.8,B628&lt;=1.5),1,IF(AND(B628&gt;=0.5,B628&lt;=2),0.5,0))</f>
        <v>0</v>
      </c>
      <c r="M628">
        <f>IF(AND(C628&gt;=0.5,C628&lt;=2),1,IF(AND(C628&gt;=0.1,C628&lt;=5),0.5,0))</f>
        <v>0</v>
      </c>
      <c r="N628">
        <f>IF(AND(G628&gt;=4,G628&lt;=7),1,IF(AND(G628&gt;=3,G628&lt;=8),0.5,0))</f>
        <v>0</v>
      </c>
      <c r="O628">
        <f>IF(AND(F628&gt;=270,F628&lt;=310),1,IF(AND(F628&gt;=250,F628&lt;=330),0.5,0))</f>
        <v>0</v>
      </c>
      <c r="P628">
        <f>IF(AND(E628&gt;=0.8,E628&lt;=1.5),1,IF(AND(E628&gt;=0.5,E628&lt;=2),0.5,0))</f>
        <v>0</v>
      </c>
      <c r="Q628">
        <f>IF(AND(H628&gt;=5000,H628&lt;=6000),1,IF(AND(H628&gt;=4000,H628&lt;5000),0.5,0))</f>
        <v>0</v>
      </c>
      <c r="R628">
        <f>0.35*AVERAGE(L628:M628:N628)+0.3*O628+0.2*P628+0.15*Q628</f>
        <v>0</v>
      </c>
      <c r="S628" t="str">
        <f>LEFT(K628,1)</f>
        <v/>
      </c>
      <c r="T628">
        <f>IF(S628="G",1,0)</f>
        <v>0</v>
      </c>
      <c r="U628">
        <f>IF(S628="K",1,0)</f>
        <v>0</v>
      </c>
      <c r="V628">
        <f>IF(S628="M",1,0)</f>
        <v>0</v>
      </c>
      <c r="W628">
        <f>IF(S628="F",1,0)</f>
        <v>0</v>
      </c>
    </row>
    <row r="629" spans="1:23" x14ac:dyDescent="0.3">
      <c r="A629" t="s">
        <v>88</v>
      </c>
      <c r="B629">
        <v>11.93756445</v>
      </c>
      <c r="C629">
        <v>2606.1929374000001</v>
      </c>
      <c r="D629">
        <v>6.9615080000000003</v>
      </c>
      <c r="E629">
        <v>7.5300000000000006E-2</v>
      </c>
      <c r="F629">
        <v>1213</v>
      </c>
      <c r="G629">
        <f>IF(OR(C629="",B629="",B629=0),"",5.51*(C629/(B629^3)))</f>
        <v>8.4413318620110225</v>
      </c>
      <c r="H629">
        <v>6020</v>
      </c>
      <c r="I629">
        <v>2.028352749401988</v>
      </c>
      <c r="J629">
        <v>0.24</v>
      </c>
      <c r="L629">
        <f>IF(AND(B629&gt;=0.8,B629&lt;=1.5),1,IF(AND(B629&gt;=0.5,B629&lt;=2),0.5,0))</f>
        <v>0</v>
      </c>
      <c r="M629">
        <f>IF(AND(C629&gt;=0.5,C629&lt;=2),1,IF(AND(C629&gt;=0.1,C629&lt;=5),0.5,0))</f>
        <v>0</v>
      </c>
      <c r="N629">
        <f>IF(AND(G629&gt;=4,G629&lt;=7),1,IF(AND(G629&gt;=3,G629&lt;=8),0.5,0))</f>
        <v>0</v>
      </c>
      <c r="O629">
        <f>IF(AND(F629&gt;=270,F629&lt;=310),1,IF(AND(F629&gt;=250,F629&lt;=330),0.5,0))</f>
        <v>0</v>
      </c>
      <c r="P629">
        <f>IF(AND(E629&gt;=0.8,E629&lt;=1.5),1,IF(AND(E629&gt;=0.5,E629&lt;=2),0.5,0))</f>
        <v>0</v>
      </c>
      <c r="Q629">
        <f>IF(AND(H629&gt;=5000,H629&lt;=6000),1,IF(AND(H629&gt;=4000,H629&lt;5000),0.5,0))</f>
        <v>0</v>
      </c>
      <c r="R629">
        <f>0.35*AVERAGE(L629:M629:N629)+0.3*O629+0.2*P629+0.15*Q629</f>
        <v>0</v>
      </c>
      <c r="S629" t="str">
        <f>LEFT(K629,1)</f>
        <v/>
      </c>
      <c r="T629">
        <f>IF(S629="G",1,0)</f>
        <v>0</v>
      </c>
      <c r="U629">
        <f>IF(S629="K",1,0)</f>
        <v>0</v>
      </c>
      <c r="V629">
        <f>IF(S629="M",1,0)</f>
        <v>0</v>
      </c>
      <c r="W629">
        <f>IF(S629="F",1,0)</f>
        <v>0</v>
      </c>
    </row>
    <row r="630" spans="1:23" x14ac:dyDescent="0.3">
      <c r="A630" t="s">
        <v>87</v>
      </c>
      <c r="B630">
        <v>8.4739894099999997</v>
      </c>
      <c r="D630">
        <v>14.844260999999999</v>
      </c>
      <c r="E630">
        <v>0.13100000000000001</v>
      </c>
      <c r="F630">
        <v>745</v>
      </c>
      <c r="G630" t="str">
        <f>IF(OR(C630="",B630="",B630=0),"",5.51*(C630/(B630^3)))</f>
        <v/>
      </c>
      <c r="H630">
        <v>5910</v>
      </c>
      <c r="I630">
        <v>0.88069323344927608</v>
      </c>
      <c r="L630">
        <f>IF(AND(B630&gt;=0.8,B630&lt;=1.5),1,IF(AND(B630&gt;=0.5,B630&lt;=2),0.5,0))</f>
        <v>0</v>
      </c>
      <c r="M630">
        <f>IF(AND(C630&gt;=0.5,C630&lt;=2),1,IF(AND(C630&gt;=0.1,C630&lt;=5),0.5,0))</f>
        <v>0</v>
      </c>
      <c r="N630">
        <f>IF(AND(G630&gt;=4,G630&lt;=7),1,IF(AND(G630&gt;=3,G630&lt;=8),0.5,0))</f>
        <v>0</v>
      </c>
      <c r="O630">
        <f>IF(AND(F630&gt;=270,F630&lt;=310),1,IF(AND(F630&gt;=250,F630&lt;=330),0.5,0))</f>
        <v>0</v>
      </c>
      <c r="P630">
        <f>IF(AND(E630&gt;=0.8,E630&lt;=1.5),1,IF(AND(E630&gt;=0.5,E630&lt;=2),0.5,0))</f>
        <v>0</v>
      </c>
      <c r="Q630">
        <f>IF(AND(H630&gt;=5000,H630&lt;=6000),1,IF(AND(H630&gt;=4000,H630&lt;5000),0.5,0))</f>
        <v>1</v>
      </c>
      <c r="R630">
        <f>0.35*AVERAGE(L630:M630:N630)+0.3*O630+0.2*P630+0.15*Q630</f>
        <v>0.15</v>
      </c>
      <c r="S630" t="str">
        <f>LEFT(K630,1)</f>
        <v/>
      </c>
      <c r="T630">
        <f>IF(S630="G",1,0)</f>
        <v>0</v>
      </c>
      <c r="U630">
        <f>IF(S630="K",1,0)</f>
        <v>0</v>
      </c>
      <c r="V630">
        <f>IF(S630="M",1,0)</f>
        <v>0</v>
      </c>
      <c r="W630">
        <f>IF(S630="F",1,0)</f>
        <v>0</v>
      </c>
    </row>
    <row r="631" spans="1:23" x14ac:dyDescent="0.3">
      <c r="A631" t="s">
        <v>86</v>
      </c>
      <c r="B631">
        <v>4.5999999999999996</v>
      </c>
      <c r="D631">
        <v>34.005018999999997</v>
      </c>
      <c r="E631">
        <v>0.11360000000000001</v>
      </c>
      <c r="F631">
        <v>204.4</v>
      </c>
      <c r="G631" t="str">
        <f>IF(OR(C631="",B631="",B631=0),"",5.51*(C631/(B631^3)))</f>
        <v/>
      </c>
      <c r="H631">
        <v>3230</v>
      </c>
      <c r="I631">
        <v>5.3472643436533315E-3</v>
      </c>
      <c r="J631">
        <v>-0.53</v>
      </c>
      <c r="K631" t="s">
        <v>85</v>
      </c>
      <c r="L631">
        <f>IF(AND(B631&gt;=0.8,B631&lt;=1.5),1,IF(AND(B631&gt;=0.5,B631&lt;=2),0.5,0))</f>
        <v>0</v>
      </c>
      <c r="M631">
        <f>IF(AND(C631&gt;=0.5,C631&lt;=2),1,IF(AND(C631&gt;=0.1,C631&lt;=5),0.5,0))</f>
        <v>0</v>
      </c>
      <c r="N631">
        <f>IF(AND(G631&gt;=4,G631&lt;=7),1,IF(AND(G631&gt;=3,G631&lt;=8),0.5,0))</f>
        <v>0</v>
      </c>
      <c r="O631">
        <f>IF(AND(F631&gt;=270,F631&lt;=310),1,IF(AND(F631&gt;=250,F631&lt;=330),0.5,0))</f>
        <v>0</v>
      </c>
      <c r="P631">
        <f>IF(AND(E631&gt;=0.8,E631&lt;=1.5),1,IF(AND(E631&gt;=0.5,E631&lt;=2),0.5,0))</f>
        <v>0</v>
      </c>
      <c r="Q631">
        <f>IF(AND(H631&gt;=5000,H631&lt;=6000),1,IF(AND(H631&gt;=4000,H631&lt;5000),0.5,0))</f>
        <v>0</v>
      </c>
      <c r="R631">
        <f>0.35*AVERAGE(L631:M631:N631)+0.3*O631+0.2*P631+0.15*Q631</f>
        <v>0</v>
      </c>
      <c r="S631" t="str">
        <f>LEFT(K631,1)</f>
        <v>M</v>
      </c>
      <c r="T631">
        <f>IF(S631="G",1,0)</f>
        <v>0</v>
      </c>
      <c r="U631">
        <f>IF(S631="K",1,0)</f>
        <v>0</v>
      </c>
      <c r="V631">
        <f>IF(S631="M",1,0)</f>
        <v>1</v>
      </c>
      <c r="W631">
        <f>IF(S631="F",1,0)</f>
        <v>0</v>
      </c>
    </row>
    <row r="632" spans="1:23" x14ac:dyDescent="0.3">
      <c r="A632" t="s">
        <v>84</v>
      </c>
      <c r="B632">
        <v>2.3780000000000001</v>
      </c>
      <c r="C632">
        <v>8.7100000000000009</v>
      </c>
      <c r="D632">
        <v>1.5275609999999999</v>
      </c>
      <c r="E632">
        <v>1.9439999999999999E-2</v>
      </c>
      <c r="F632">
        <v>794</v>
      </c>
      <c r="G632">
        <f>IF(OR(C632="",B632="",B632=0),"",5.51*(C632/(B632^3)))</f>
        <v>3.568898551601265</v>
      </c>
      <c r="H632">
        <v>3521</v>
      </c>
      <c r="I632">
        <v>2.5497104352396553E-2</v>
      </c>
      <c r="J632">
        <v>0.12</v>
      </c>
      <c r="K632" t="s">
        <v>74</v>
      </c>
      <c r="L632">
        <f>IF(AND(B632&gt;=0.8,B632&lt;=1.5),1,IF(AND(B632&gt;=0.5,B632&lt;=2),0.5,0))</f>
        <v>0</v>
      </c>
      <c r="M632">
        <f>IF(AND(C632&gt;=0.5,C632&lt;=2),1,IF(AND(C632&gt;=0.1,C632&lt;=5),0.5,0))</f>
        <v>0</v>
      </c>
      <c r="N632">
        <f>IF(AND(G632&gt;=4,G632&lt;=7),1,IF(AND(G632&gt;=3,G632&lt;=8),0.5,0))</f>
        <v>0.5</v>
      </c>
      <c r="O632">
        <f>IF(AND(F632&gt;=270,F632&lt;=310),1,IF(AND(F632&gt;=250,F632&lt;=330),0.5,0))</f>
        <v>0</v>
      </c>
      <c r="P632">
        <f>IF(AND(E632&gt;=0.8,E632&lt;=1.5),1,IF(AND(E632&gt;=0.5,E632&lt;=2),0.5,0))</f>
        <v>0</v>
      </c>
      <c r="Q632">
        <f>IF(AND(H632&gt;=5000,H632&lt;=6000),1,IF(AND(H632&gt;=4000,H632&lt;5000),0.5,0))</f>
        <v>0</v>
      </c>
      <c r="R632">
        <f>0.35*AVERAGE(L632:M632:N632)+0.3*O632+0.2*P632+0.15*Q632</f>
        <v>5.8333333333333327E-2</v>
      </c>
      <c r="S632" t="str">
        <f>LEFT(K632,1)</f>
        <v>M</v>
      </c>
      <c r="T632">
        <f>IF(S632="G",1,0)</f>
        <v>0</v>
      </c>
      <c r="U632">
        <f>IF(S632="K",1,0)</f>
        <v>0</v>
      </c>
      <c r="V632">
        <f>IF(S632="M",1,0)</f>
        <v>1</v>
      </c>
      <c r="W632">
        <f>IF(S632="F",1,0)</f>
        <v>0</v>
      </c>
    </row>
    <row r="633" spans="1:23" x14ac:dyDescent="0.3">
      <c r="A633" t="s">
        <v>83</v>
      </c>
      <c r="B633">
        <v>10.984801089999999</v>
      </c>
      <c r="C633">
        <v>235.19302117999999</v>
      </c>
      <c r="D633">
        <v>18.184239999999999</v>
      </c>
      <c r="E633">
        <v>0.13400000000000001</v>
      </c>
      <c r="F633">
        <v>833</v>
      </c>
      <c r="G633">
        <f>IF(OR(C633="",B633="",B633=0),"",5.51*(C633/(B633^3)))</f>
        <v>0.97768609388616623</v>
      </c>
      <c r="H633">
        <v>5463</v>
      </c>
      <c r="I633">
        <v>0.81518728971109666</v>
      </c>
      <c r="J633">
        <v>0.36</v>
      </c>
      <c r="L633">
        <f>IF(AND(B633&gt;=0.8,B633&lt;=1.5),1,IF(AND(B633&gt;=0.5,B633&lt;=2),0.5,0))</f>
        <v>0</v>
      </c>
      <c r="M633">
        <f>IF(AND(C633&gt;=0.5,C633&lt;=2),1,IF(AND(C633&gt;=0.1,C633&lt;=5),0.5,0))</f>
        <v>0</v>
      </c>
      <c r="N633">
        <f>IF(AND(G633&gt;=4,G633&lt;=7),1,IF(AND(G633&gt;=3,G633&lt;=8),0.5,0))</f>
        <v>0</v>
      </c>
      <c r="O633">
        <f>IF(AND(F633&gt;=270,F633&lt;=310),1,IF(AND(F633&gt;=250,F633&lt;=330),0.5,0))</f>
        <v>0</v>
      </c>
      <c r="P633">
        <f>IF(AND(E633&gt;=0.8,E633&lt;=1.5),1,IF(AND(E633&gt;=0.5,E633&lt;=2),0.5,0))</f>
        <v>0</v>
      </c>
      <c r="Q633">
        <f>IF(AND(H633&gt;=5000,H633&lt;=6000),1,IF(AND(H633&gt;=4000,H633&lt;5000),0.5,0))</f>
        <v>1</v>
      </c>
      <c r="R633">
        <f>0.35*AVERAGE(L633:M633:N633)+0.3*O633+0.2*P633+0.15*Q633</f>
        <v>0.15</v>
      </c>
      <c r="S633" t="str">
        <f>LEFT(K633,1)</f>
        <v/>
      </c>
      <c r="T633">
        <f>IF(S633="G",1,0)</f>
        <v>0</v>
      </c>
      <c r="U633">
        <f>IF(S633="K",1,0)</f>
        <v>0</v>
      </c>
      <c r="V633">
        <f>IF(S633="M",1,0)</f>
        <v>0</v>
      </c>
      <c r="W633">
        <f>IF(S633="F",1,0)</f>
        <v>0</v>
      </c>
    </row>
    <row r="634" spans="1:23" x14ac:dyDescent="0.3">
      <c r="A634" t="s">
        <v>82</v>
      </c>
      <c r="B634">
        <v>2.27</v>
      </c>
      <c r="C634">
        <v>4.45</v>
      </c>
      <c r="D634">
        <v>2.5989019999999998</v>
      </c>
      <c r="E634">
        <v>2.9499999999999998E-2</v>
      </c>
      <c r="F634">
        <v>674</v>
      </c>
      <c r="G634">
        <f>IF(OR(C634="",B634="",B634=0),"",5.51*(C634/(B634^3)))</f>
        <v>2.0962063789749976</v>
      </c>
      <c r="H634">
        <v>3681</v>
      </c>
      <c r="I634">
        <v>4.3181034407493588E-2</v>
      </c>
      <c r="J634">
        <v>7.0000000000000007E-2</v>
      </c>
      <c r="K634" t="s">
        <v>51</v>
      </c>
      <c r="L634">
        <f>IF(AND(B634&gt;=0.8,B634&lt;=1.5),1,IF(AND(B634&gt;=0.5,B634&lt;=2),0.5,0))</f>
        <v>0</v>
      </c>
      <c r="M634">
        <f>IF(AND(C634&gt;=0.5,C634&lt;=2),1,IF(AND(C634&gt;=0.1,C634&lt;=5),0.5,0))</f>
        <v>0.5</v>
      </c>
      <c r="N634">
        <f>IF(AND(G634&gt;=4,G634&lt;=7),1,IF(AND(G634&gt;=3,G634&lt;=8),0.5,0))</f>
        <v>0</v>
      </c>
      <c r="O634">
        <f>IF(AND(F634&gt;=270,F634&lt;=310),1,IF(AND(F634&gt;=250,F634&lt;=330),0.5,0))</f>
        <v>0</v>
      </c>
      <c r="P634">
        <f>IF(AND(E634&gt;=0.8,E634&lt;=1.5),1,IF(AND(E634&gt;=0.5,E634&lt;=2),0.5,0))</f>
        <v>0</v>
      </c>
      <c r="Q634">
        <f>IF(AND(H634&gt;=5000,H634&lt;=6000),1,IF(AND(H634&gt;=4000,H634&lt;5000),0.5,0))</f>
        <v>0</v>
      </c>
      <c r="R634">
        <f>0.35*AVERAGE(L634:M634:N634)+0.3*O634+0.2*P634+0.15*Q634</f>
        <v>5.8333333333333327E-2</v>
      </c>
      <c r="S634" t="str">
        <f>LEFT(K634,1)</f>
        <v>M</v>
      </c>
      <c r="T634">
        <f>IF(S634="G",1,0)</f>
        <v>0</v>
      </c>
      <c r="U634">
        <f>IF(S634="K",1,0)</f>
        <v>0</v>
      </c>
      <c r="V634">
        <f>IF(S634="M",1,0)</f>
        <v>1</v>
      </c>
      <c r="W634">
        <f>IF(S634="F",1,0)</f>
        <v>0</v>
      </c>
    </row>
    <row r="635" spans="1:23" x14ac:dyDescent="0.3">
      <c r="A635" t="s">
        <v>81</v>
      </c>
      <c r="B635">
        <v>2.2599999999999998</v>
      </c>
      <c r="C635">
        <v>3.65</v>
      </c>
      <c r="D635">
        <v>4.6955507000000001</v>
      </c>
      <c r="E635">
        <v>4.3700000000000003E-2</v>
      </c>
      <c r="F635">
        <v>553</v>
      </c>
      <c r="G635">
        <f>IF(OR(C635="",B635="",B635=0),"",5.51*(C635/(B635^3)))</f>
        <v>1.7422847923309848</v>
      </c>
      <c r="H635">
        <v>3681</v>
      </c>
      <c r="I635">
        <v>4.3181034407493588E-2</v>
      </c>
      <c r="J635">
        <v>7.0000000000000007E-2</v>
      </c>
      <c r="K635" t="s">
        <v>51</v>
      </c>
      <c r="L635">
        <f>IF(AND(B635&gt;=0.8,B635&lt;=1.5),1,IF(AND(B635&gt;=0.5,B635&lt;=2),0.5,0))</f>
        <v>0</v>
      </c>
      <c r="M635">
        <f>IF(AND(C635&gt;=0.5,C635&lt;=2),1,IF(AND(C635&gt;=0.1,C635&lt;=5),0.5,0))</f>
        <v>0.5</v>
      </c>
      <c r="N635">
        <f>IF(AND(G635&gt;=4,G635&lt;=7),1,IF(AND(G635&gt;=3,G635&lt;=8),0.5,0))</f>
        <v>0</v>
      </c>
      <c r="O635">
        <f>IF(AND(F635&gt;=270,F635&lt;=310),1,IF(AND(F635&gt;=250,F635&lt;=330),0.5,0))</f>
        <v>0</v>
      </c>
      <c r="P635">
        <f>IF(AND(E635&gt;=0.8,E635&lt;=1.5),1,IF(AND(E635&gt;=0.5,E635&lt;=2),0.5,0))</f>
        <v>0</v>
      </c>
      <c r="Q635">
        <f>IF(AND(H635&gt;=5000,H635&lt;=6000),1,IF(AND(H635&gt;=4000,H635&lt;5000),0.5,0))</f>
        <v>0</v>
      </c>
      <c r="R635">
        <f>0.35*AVERAGE(L635:M635:N635)+0.3*O635+0.2*P635+0.15*Q635</f>
        <v>5.8333333333333327E-2</v>
      </c>
      <c r="S635" t="str">
        <f>LEFT(K635,1)</f>
        <v>M</v>
      </c>
      <c r="T635">
        <f>IF(S635="G",1,0)</f>
        <v>0</v>
      </c>
      <c r="U635">
        <f>IF(S635="K",1,0)</f>
        <v>0</v>
      </c>
      <c r="V635">
        <f>IF(S635="M",1,0)</f>
        <v>1</v>
      </c>
      <c r="W635">
        <f>IF(S635="F",1,0)</f>
        <v>0</v>
      </c>
    </row>
    <row r="636" spans="1:23" x14ac:dyDescent="0.3">
      <c r="A636" t="s">
        <v>80</v>
      </c>
      <c r="B636">
        <v>1.92</v>
      </c>
      <c r="C636">
        <v>5.2</v>
      </c>
      <c r="D636">
        <v>7.1027268000000001</v>
      </c>
      <c r="E636">
        <v>5.7599999999999998E-2</v>
      </c>
      <c r="F636">
        <v>482</v>
      </c>
      <c r="G636">
        <f>IF(OR(C636="",B636="",B636=0),"",5.51*(C636/(B636^3)))</f>
        <v>4.0481002242476851</v>
      </c>
      <c r="H636">
        <v>3681</v>
      </c>
      <c r="I636">
        <v>4.3181034407493588E-2</v>
      </c>
      <c r="J636">
        <v>7.0000000000000007E-2</v>
      </c>
      <c r="K636" t="s">
        <v>51</v>
      </c>
      <c r="L636">
        <f>IF(AND(B636&gt;=0.8,B636&lt;=1.5),1,IF(AND(B636&gt;=0.5,B636&lt;=2),0.5,0))</f>
        <v>0.5</v>
      </c>
      <c r="M636">
        <f>IF(AND(C636&gt;=0.5,C636&lt;=2),1,IF(AND(C636&gt;=0.1,C636&lt;=5),0.5,0))</f>
        <v>0</v>
      </c>
      <c r="N636">
        <f>IF(AND(G636&gt;=4,G636&lt;=7),1,IF(AND(G636&gt;=3,G636&lt;=8),0.5,0))</f>
        <v>1</v>
      </c>
      <c r="O636">
        <f>IF(AND(F636&gt;=270,F636&lt;=310),1,IF(AND(F636&gt;=250,F636&lt;=330),0.5,0))</f>
        <v>0</v>
      </c>
      <c r="P636">
        <f>IF(AND(E636&gt;=0.8,E636&lt;=1.5),1,IF(AND(E636&gt;=0.5,E636&lt;=2),0.5,0))</f>
        <v>0</v>
      </c>
      <c r="Q636">
        <f>IF(AND(H636&gt;=5000,H636&lt;=6000),1,IF(AND(H636&gt;=4000,H636&lt;5000),0.5,0))</f>
        <v>0</v>
      </c>
      <c r="R636">
        <f>0.35*AVERAGE(L636:M636:N636)+0.3*O636+0.2*P636+0.15*Q636</f>
        <v>0.17499999999999999</v>
      </c>
      <c r="S636" t="str">
        <f>LEFT(K636,1)</f>
        <v>M</v>
      </c>
      <c r="T636">
        <f>IF(S636="G",1,0)</f>
        <v>0</v>
      </c>
      <c r="U636">
        <f>IF(S636="K",1,0)</f>
        <v>0</v>
      </c>
      <c r="V636">
        <f>IF(S636="M",1,0)</f>
        <v>1</v>
      </c>
      <c r="W636">
        <f>IF(S636="F",1,0)</f>
        <v>0</v>
      </c>
    </row>
    <row r="637" spans="1:23" x14ac:dyDescent="0.3">
      <c r="A637" t="s">
        <v>79</v>
      </c>
      <c r="B637">
        <v>5.09</v>
      </c>
      <c r="C637">
        <v>61</v>
      </c>
      <c r="D637">
        <v>5.0569730000000002</v>
      </c>
      <c r="E637">
        <v>6.3299999999999995E-2</v>
      </c>
      <c r="F637">
        <v>1493</v>
      </c>
      <c r="G637">
        <f>IF(OR(C637="",B637="",B637=0),"",5.51*(C637/(B637^3)))</f>
        <v>2.5487549770619262</v>
      </c>
      <c r="H637">
        <v>5940</v>
      </c>
      <c r="I637">
        <v>3.3082427586119967</v>
      </c>
      <c r="J637">
        <v>0.22500000000000001</v>
      </c>
      <c r="L637">
        <f>IF(AND(B637&gt;=0.8,B637&lt;=1.5),1,IF(AND(B637&gt;=0.5,B637&lt;=2),0.5,0))</f>
        <v>0</v>
      </c>
      <c r="M637">
        <f>IF(AND(C637&gt;=0.5,C637&lt;=2),1,IF(AND(C637&gt;=0.1,C637&lt;=5),0.5,0))</f>
        <v>0</v>
      </c>
      <c r="N637">
        <f>IF(AND(G637&gt;=4,G637&lt;=7),1,IF(AND(G637&gt;=3,G637&lt;=8),0.5,0))</f>
        <v>0</v>
      </c>
      <c r="O637">
        <f>IF(AND(F637&gt;=270,F637&lt;=310),1,IF(AND(F637&gt;=250,F637&lt;=330),0.5,0))</f>
        <v>0</v>
      </c>
      <c r="P637">
        <f>IF(AND(E637&gt;=0.8,E637&lt;=1.5),1,IF(AND(E637&gt;=0.5,E637&lt;=2),0.5,0))</f>
        <v>0</v>
      </c>
      <c r="Q637">
        <f>IF(AND(H637&gt;=5000,H637&lt;=6000),1,IF(AND(H637&gt;=4000,H637&lt;5000),0.5,0))</f>
        <v>1</v>
      </c>
      <c r="R637">
        <f>0.35*AVERAGE(L637:M637:N637)+0.3*O637+0.2*P637+0.15*Q637</f>
        <v>0.15</v>
      </c>
      <c r="S637" t="str">
        <f>LEFT(K637,1)</f>
        <v/>
      </c>
      <c r="T637">
        <f>IF(S637="G",1,0)</f>
        <v>0</v>
      </c>
      <c r="U637">
        <f>IF(S637="K",1,0)</f>
        <v>0</v>
      </c>
      <c r="V637">
        <f>IF(S637="M",1,0)</f>
        <v>0</v>
      </c>
      <c r="W637">
        <f>IF(S637="F",1,0)</f>
        <v>0</v>
      </c>
    </row>
    <row r="638" spans="1:23" x14ac:dyDescent="0.3">
      <c r="A638" t="s">
        <v>78</v>
      </c>
      <c r="B638">
        <v>2.58606487</v>
      </c>
      <c r="C638">
        <v>10</v>
      </c>
      <c r="D638">
        <v>3.9451520000000002</v>
      </c>
      <c r="E638">
        <v>4.8000000000000001E-2</v>
      </c>
      <c r="F638">
        <v>1124.8499999999999</v>
      </c>
      <c r="G638">
        <f>IF(OR(C638="",B638="",B638=0),"",5.51*(C638/(B638^3)))</f>
        <v>3.1859089114768224</v>
      </c>
      <c r="H638">
        <v>5597</v>
      </c>
      <c r="I638">
        <v>0.85980660435525613</v>
      </c>
      <c r="J638">
        <v>1E-3</v>
      </c>
      <c r="L638">
        <f>IF(AND(B638&gt;=0.8,B638&lt;=1.5),1,IF(AND(B638&gt;=0.5,B638&lt;=2),0.5,0))</f>
        <v>0</v>
      </c>
      <c r="M638">
        <f>IF(AND(C638&gt;=0.5,C638&lt;=2),1,IF(AND(C638&gt;=0.1,C638&lt;=5),0.5,0))</f>
        <v>0</v>
      </c>
      <c r="N638">
        <f>IF(AND(G638&gt;=4,G638&lt;=7),1,IF(AND(G638&gt;=3,G638&lt;=8),0.5,0))</f>
        <v>0.5</v>
      </c>
      <c r="O638">
        <f>IF(AND(F638&gt;=270,F638&lt;=310),1,IF(AND(F638&gt;=250,F638&lt;=330),0.5,0))</f>
        <v>0</v>
      </c>
      <c r="P638">
        <f>IF(AND(E638&gt;=0.8,E638&lt;=1.5),1,IF(AND(E638&gt;=0.5,E638&lt;=2),0.5,0))</f>
        <v>0</v>
      </c>
      <c r="Q638">
        <f>IF(AND(H638&gt;=5000,H638&lt;=6000),1,IF(AND(H638&gt;=4000,H638&lt;5000),0.5,0))</f>
        <v>1</v>
      </c>
      <c r="R638">
        <f>0.35*AVERAGE(L638:M638:N638)+0.3*O638+0.2*P638+0.15*Q638</f>
        <v>0.20833333333333331</v>
      </c>
      <c r="S638" t="str">
        <f>LEFT(K638,1)</f>
        <v/>
      </c>
      <c r="T638">
        <f>IF(S638="G",1,0)</f>
        <v>0</v>
      </c>
      <c r="U638">
        <f>IF(S638="K",1,0)</f>
        <v>0</v>
      </c>
      <c r="V638">
        <f>IF(S638="M",1,0)</f>
        <v>0</v>
      </c>
      <c r="W638">
        <f>IF(S638="F",1,0)</f>
        <v>0</v>
      </c>
    </row>
    <row r="639" spans="1:23" x14ac:dyDescent="0.3">
      <c r="A639" t="s">
        <v>77</v>
      </c>
      <c r="B639">
        <v>9.5276335900000007</v>
      </c>
      <c r="C639">
        <v>66.743965470000006</v>
      </c>
      <c r="D639">
        <v>80.388999999999996</v>
      </c>
      <c r="E639">
        <v>0.40200000000000002</v>
      </c>
      <c r="F639">
        <v>599</v>
      </c>
      <c r="G639">
        <f>IF(OR(C639="",B639="",B639=0),"",5.51*(C639/(B639^3)))</f>
        <v>0.42521489007427721</v>
      </c>
      <c r="H639">
        <v>6400</v>
      </c>
      <c r="I639">
        <v>3.464024121020763</v>
      </c>
      <c r="J639">
        <v>0.2</v>
      </c>
      <c r="K639" t="s">
        <v>76</v>
      </c>
      <c r="L639">
        <f>IF(AND(B639&gt;=0.8,B639&lt;=1.5),1,IF(AND(B639&gt;=0.5,B639&lt;=2),0.5,0))</f>
        <v>0</v>
      </c>
      <c r="M639">
        <f>IF(AND(C639&gt;=0.5,C639&lt;=2),1,IF(AND(C639&gt;=0.1,C639&lt;=5),0.5,0))</f>
        <v>0</v>
      </c>
      <c r="N639">
        <f>IF(AND(G639&gt;=4,G639&lt;=7),1,IF(AND(G639&gt;=3,G639&lt;=8),0.5,0))</f>
        <v>0</v>
      </c>
      <c r="O639">
        <f>IF(AND(F639&gt;=270,F639&lt;=310),1,IF(AND(F639&gt;=250,F639&lt;=330),0.5,0))</f>
        <v>0</v>
      </c>
      <c r="P639">
        <f>IF(AND(E639&gt;=0.8,E639&lt;=1.5),1,IF(AND(E639&gt;=0.5,E639&lt;=2),0.5,0))</f>
        <v>0</v>
      </c>
      <c r="Q639">
        <f>IF(AND(H639&gt;=5000,H639&lt;=6000),1,IF(AND(H639&gt;=4000,H639&lt;5000),0.5,0))</f>
        <v>0</v>
      </c>
      <c r="R639">
        <f>0.35*AVERAGE(L639:M639:N639)+0.3*O639+0.2*P639+0.15*Q639</f>
        <v>0</v>
      </c>
      <c r="S639" t="str">
        <f>LEFT(K639,1)</f>
        <v>F</v>
      </c>
      <c r="T639">
        <f>IF(S639="G",1,0)</f>
        <v>0</v>
      </c>
      <c r="U639">
        <f>IF(S639="K",1,0)</f>
        <v>0</v>
      </c>
      <c r="V639">
        <f>IF(S639="M",1,0)</f>
        <v>0</v>
      </c>
      <c r="W639">
        <f>IF(S639="F",1,0)</f>
        <v>1</v>
      </c>
    </row>
    <row r="640" spans="1:23" x14ac:dyDescent="0.3">
      <c r="A640" t="s">
        <v>75</v>
      </c>
      <c r="B640">
        <v>5.25</v>
      </c>
      <c r="C640">
        <v>23.6</v>
      </c>
      <c r="D640">
        <v>1.9771430000000001</v>
      </c>
      <c r="E640">
        <v>2.5000000000000001E-2</v>
      </c>
      <c r="F640">
        <v>635</v>
      </c>
      <c r="G640">
        <f>IF(OR(C640="",B640="",B640=0),"",5.51*(C640/(B640^3)))</f>
        <v>0.89863988770111225</v>
      </c>
      <c r="H640">
        <v>3514</v>
      </c>
      <c r="I640">
        <v>2.4132119064628525E-2</v>
      </c>
      <c r="J640">
        <v>0.17</v>
      </c>
      <c r="K640" t="s">
        <v>74</v>
      </c>
      <c r="L640">
        <f>IF(AND(B640&gt;=0.8,B640&lt;=1.5),1,IF(AND(B640&gt;=0.5,B640&lt;=2),0.5,0))</f>
        <v>0</v>
      </c>
      <c r="M640">
        <f>IF(AND(C640&gt;=0.5,C640&lt;=2),1,IF(AND(C640&gt;=0.1,C640&lt;=5),0.5,0))</f>
        <v>0</v>
      </c>
      <c r="N640">
        <f>IF(AND(G640&gt;=4,G640&lt;=7),1,IF(AND(G640&gt;=3,G640&lt;=8),0.5,0))</f>
        <v>0</v>
      </c>
      <c r="O640">
        <f>IF(AND(F640&gt;=270,F640&lt;=310),1,IF(AND(F640&gt;=250,F640&lt;=330),0.5,0))</f>
        <v>0</v>
      </c>
      <c r="P640">
        <f>IF(AND(E640&gt;=0.8,E640&lt;=1.5),1,IF(AND(E640&gt;=0.5,E640&lt;=2),0.5,0))</f>
        <v>0</v>
      </c>
      <c r="Q640">
        <f>IF(AND(H640&gt;=5000,H640&lt;=6000),1,IF(AND(H640&gt;=4000,H640&lt;5000),0.5,0))</f>
        <v>0</v>
      </c>
      <c r="R640">
        <f>0.35*AVERAGE(L640:M640:N640)+0.3*O640+0.2*P640+0.15*Q640</f>
        <v>0</v>
      </c>
      <c r="S640" t="str">
        <f>LEFT(K640,1)</f>
        <v>M</v>
      </c>
      <c r="T640">
        <f>IF(S640="G",1,0)</f>
        <v>0</v>
      </c>
      <c r="U640">
        <f>IF(S640="K",1,0)</f>
        <v>0</v>
      </c>
      <c r="V640">
        <f>IF(S640="M",1,0)</f>
        <v>1</v>
      </c>
      <c r="W640">
        <f>IF(S640="F",1,0)</f>
        <v>0</v>
      </c>
    </row>
    <row r="641" spans="1:23" x14ac:dyDescent="0.3">
      <c r="A641" t="s">
        <v>73</v>
      </c>
      <c r="B641">
        <v>13.114507420000001</v>
      </c>
      <c r="C641">
        <v>392.20025423999999</v>
      </c>
      <c r="D641">
        <v>11.236598499999999</v>
      </c>
      <c r="E641">
        <v>0.1041</v>
      </c>
      <c r="G641">
        <f>IF(OR(C641="",B641="",B641=0),"",5.51*(C641/(B641^3)))</f>
        <v>0.95808385156629416</v>
      </c>
      <c r="H641">
        <v>6295</v>
      </c>
      <c r="I641">
        <v>2.3083025271381592</v>
      </c>
      <c r="J641">
        <v>0</v>
      </c>
      <c r="K641" t="s">
        <v>72</v>
      </c>
      <c r="L641">
        <f>IF(AND(B641&gt;=0.8,B641&lt;=1.5),1,IF(AND(B641&gt;=0.5,B641&lt;=2),0.5,0))</f>
        <v>0</v>
      </c>
      <c r="M641">
        <f>IF(AND(C641&gt;=0.5,C641&lt;=2),1,IF(AND(C641&gt;=0.1,C641&lt;=5),0.5,0))</f>
        <v>0</v>
      </c>
      <c r="N641">
        <f>IF(AND(G641&gt;=4,G641&lt;=7),1,IF(AND(G641&gt;=3,G641&lt;=8),0.5,0))</f>
        <v>0</v>
      </c>
      <c r="O641">
        <f>IF(AND(F641&gt;=270,F641&lt;=310),1,IF(AND(F641&gt;=250,F641&lt;=330),0.5,0))</f>
        <v>0</v>
      </c>
      <c r="P641">
        <f>IF(AND(E641&gt;=0.8,E641&lt;=1.5),1,IF(AND(E641&gt;=0.5,E641&lt;=2),0.5,0))</f>
        <v>0</v>
      </c>
      <c r="Q641">
        <f>IF(AND(H641&gt;=5000,H641&lt;=6000),1,IF(AND(H641&gt;=4000,H641&lt;5000),0.5,0))</f>
        <v>0</v>
      </c>
      <c r="R641">
        <f>0.35*AVERAGE(L641:M641:N641)+0.3*O641+0.2*P641+0.15*Q641</f>
        <v>0</v>
      </c>
      <c r="S641" t="str">
        <f>LEFT(K641,1)</f>
        <v>F</v>
      </c>
      <c r="T641">
        <f>IF(S641="G",1,0)</f>
        <v>0</v>
      </c>
      <c r="U641">
        <f>IF(S641="K",1,0)</f>
        <v>0</v>
      </c>
      <c r="V641">
        <f>IF(S641="M",1,0)</f>
        <v>0</v>
      </c>
      <c r="W641">
        <f>IF(S641="F",1,0)</f>
        <v>1</v>
      </c>
    </row>
    <row r="642" spans="1:23" x14ac:dyDescent="0.3">
      <c r="A642" t="s">
        <v>71</v>
      </c>
      <c r="B642">
        <v>9.5836784999999995</v>
      </c>
      <c r="C642">
        <v>53.395172379999998</v>
      </c>
      <c r="D642">
        <v>3.3707719599999999</v>
      </c>
      <c r="E642">
        <v>2.6040000000000001E-2</v>
      </c>
      <c r="F642">
        <v>417.9</v>
      </c>
      <c r="G642">
        <f>IF(OR(C642="",B642="",B642=0),"",5.51*(C642/(B642^3)))</f>
        <v>0.33423881525343918</v>
      </c>
      <c r="H642">
        <v>3007</v>
      </c>
      <c r="I642">
        <v>3.7998642156552493E-3</v>
      </c>
      <c r="J642">
        <v>0.14199999999999999</v>
      </c>
      <c r="L642">
        <f>IF(AND(B642&gt;=0.8,B642&lt;=1.5),1,IF(AND(B642&gt;=0.5,B642&lt;=2),0.5,0))</f>
        <v>0</v>
      </c>
      <c r="M642">
        <f>IF(AND(C642&gt;=0.5,C642&lt;=2),1,IF(AND(C642&gt;=0.1,C642&lt;=5),0.5,0))</f>
        <v>0</v>
      </c>
      <c r="N642">
        <f>IF(AND(G642&gt;=4,G642&lt;=7),1,IF(AND(G642&gt;=3,G642&lt;=8),0.5,0))</f>
        <v>0</v>
      </c>
      <c r="O642">
        <f>IF(AND(F642&gt;=270,F642&lt;=310),1,IF(AND(F642&gt;=250,F642&lt;=330),0.5,0))</f>
        <v>0</v>
      </c>
      <c r="P642">
        <f>IF(AND(E642&gt;=0.8,E642&lt;=1.5),1,IF(AND(E642&gt;=0.5,E642&lt;=2),0.5,0))</f>
        <v>0</v>
      </c>
      <c r="Q642">
        <f>IF(AND(H642&gt;=5000,H642&lt;=6000),1,IF(AND(H642&gt;=4000,H642&lt;5000),0.5,0))</f>
        <v>0</v>
      </c>
      <c r="R642">
        <f>0.35*AVERAGE(L642:M642:N642)+0.3*O642+0.2*P642+0.15*Q642</f>
        <v>0</v>
      </c>
      <c r="S642" t="str">
        <f>LEFT(K642,1)</f>
        <v/>
      </c>
      <c r="T642">
        <f>IF(S642="G",1,0)</f>
        <v>0</v>
      </c>
      <c r="U642">
        <f>IF(S642="K",1,0)</f>
        <v>0</v>
      </c>
      <c r="V642">
        <f>IF(S642="M",1,0)</f>
        <v>0</v>
      </c>
      <c r="W642">
        <f>IF(S642="F",1,0)</f>
        <v>0</v>
      </c>
    </row>
    <row r="643" spans="1:23" x14ac:dyDescent="0.3">
      <c r="A643" t="s">
        <v>70</v>
      </c>
      <c r="B643">
        <v>0.91400000000000003</v>
      </c>
      <c r="D643">
        <v>9.9772189999999998</v>
      </c>
      <c r="E643">
        <v>6.7699999999999996E-2</v>
      </c>
      <c r="G643" t="str">
        <f>IF(OR(C643="",B643="",B643=0),"",5.51*(C643/(B643^3)))</f>
        <v/>
      </c>
      <c r="H643">
        <v>3459</v>
      </c>
      <c r="I643">
        <v>2.2764404275969517E-2</v>
      </c>
      <c r="J643">
        <v>-7.0000000000000007E-2</v>
      </c>
      <c r="K643" t="s">
        <v>0</v>
      </c>
      <c r="L643">
        <f>IF(AND(B643&gt;=0.8,B643&lt;=1.5),1,IF(AND(B643&gt;=0.5,B643&lt;=2),0.5,0))</f>
        <v>1</v>
      </c>
      <c r="M643">
        <f>IF(AND(C643&gt;=0.5,C643&lt;=2),1,IF(AND(C643&gt;=0.1,C643&lt;=5),0.5,0))</f>
        <v>0</v>
      </c>
      <c r="N643">
        <f>IF(AND(G643&gt;=4,G643&lt;=7),1,IF(AND(G643&gt;=3,G643&lt;=8),0.5,0))</f>
        <v>0</v>
      </c>
      <c r="O643">
        <f>IF(AND(F643&gt;=270,F643&lt;=310),1,IF(AND(F643&gt;=250,F643&lt;=330),0.5,0))</f>
        <v>0</v>
      </c>
      <c r="P643">
        <f>IF(AND(E643&gt;=0.8,E643&lt;=1.5),1,IF(AND(E643&gt;=0.5,E643&lt;=2),0.5,0))</f>
        <v>0</v>
      </c>
      <c r="Q643">
        <f>IF(AND(H643&gt;=5000,H643&lt;=6000),1,IF(AND(H643&gt;=4000,H643&lt;5000),0.5,0))</f>
        <v>0</v>
      </c>
      <c r="R643">
        <f>0.35*AVERAGE(L643:M643:N643)+0.3*O643+0.2*P643+0.15*Q643</f>
        <v>0.11666666666666665</v>
      </c>
      <c r="S643" t="str">
        <f>LEFT(K643,1)</f>
        <v>M</v>
      </c>
      <c r="T643">
        <f>IF(S643="G",1,0)</f>
        <v>0</v>
      </c>
      <c r="U643">
        <f>IF(S643="K",1,0)</f>
        <v>0</v>
      </c>
      <c r="V643">
        <f>IF(S643="M",1,0)</f>
        <v>1</v>
      </c>
      <c r="W643">
        <f>IF(S643="F",1,0)</f>
        <v>0</v>
      </c>
    </row>
    <row r="644" spans="1:23" x14ac:dyDescent="0.3">
      <c r="A644" t="s">
        <v>69</v>
      </c>
      <c r="B644">
        <v>2.6</v>
      </c>
      <c r="D644">
        <v>16.051137000000001</v>
      </c>
      <c r="E644">
        <v>9.2899999999999996E-2</v>
      </c>
      <c r="G644" t="str">
        <f>IF(OR(C644="",B644="",B644=0),"",5.51*(C644/(B644^3)))</f>
        <v/>
      </c>
      <c r="H644">
        <v>3459</v>
      </c>
      <c r="I644">
        <v>2.2764404275969517E-2</v>
      </c>
      <c r="J644">
        <v>-7.0000000000000007E-2</v>
      </c>
      <c r="K644" t="s">
        <v>0</v>
      </c>
      <c r="L644">
        <f>IF(AND(B644&gt;=0.8,B644&lt;=1.5),1,IF(AND(B644&gt;=0.5,B644&lt;=2),0.5,0))</f>
        <v>0</v>
      </c>
      <c r="M644">
        <f>IF(AND(C644&gt;=0.5,C644&lt;=2),1,IF(AND(C644&gt;=0.1,C644&lt;=5),0.5,0))</f>
        <v>0</v>
      </c>
      <c r="N644">
        <f>IF(AND(G644&gt;=4,G644&lt;=7),1,IF(AND(G644&gt;=3,G644&lt;=8),0.5,0))</f>
        <v>0</v>
      </c>
      <c r="O644">
        <f>IF(AND(F644&gt;=270,F644&lt;=310),1,IF(AND(F644&gt;=250,F644&lt;=330),0.5,0))</f>
        <v>0</v>
      </c>
      <c r="P644">
        <f>IF(AND(E644&gt;=0.8,E644&lt;=1.5),1,IF(AND(E644&gt;=0.5,E644&lt;=2),0.5,0))</f>
        <v>0</v>
      </c>
      <c r="Q644">
        <f>IF(AND(H644&gt;=5000,H644&lt;=6000),1,IF(AND(H644&gt;=4000,H644&lt;5000),0.5,0))</f>
        <v>0</v>
      </c>
      <c r="R644">
        <f>0.35*AVERAGE(L644:M644:N644)+0.3*O644+0.2*P644+0.15*Q644</f>
        <v>0</v>
      </c>
      <c r="S644" t="str">
        <f>LEFT(K644,1)</f>
        <v>M</v>
      </c>
      <c r="T644">
        <f>IF(S644="G",1,0)</f>
        <v>0</v>
      </c>
      <c r="U644">
        <f>IF(S644="K",1,0)</f>
        <v>0</v>
      </c>
      <c r="V644">
        <f>IF(S644="M",1,0)</f>
        <v>1</v>
      </c>
      <c r="W644">
        <f>IF(S644="F",1,0)</f>
        <v>0</v>
      </c>
    </row>
    <row r="645" spans="1:23" x14ac:dyDescent="0.3">
      <c r="A645" t="s">
        <v>68</v>
      </c>
      <c r="B645">
        <v>1.073</v>
      </c>
      <c r="D645">
        <v>37.423960000000001</v>
      </c>
      <c r="E645">
        <v>0.1633</v>
      </c>
      <c r="G645" t="str">
        <f>IF(OR(C645="",B645="",B645=0),"",5.51*(C645/(B645^3)))</f>
        <v/>
      </c>
      <c r="H645">
        <v>3459</v>
      </c>
      <c r="I645">
        <v>2.2764404275969517E-2</v>
      </c>
      <c r="J645">
        <v>-7.0000000000000007E-2</v>
      </c>
      <c r="K645" t="s">
        <v>0</v>
      </c>
      <c r="L645">
        <f>IF(AND(B645&gt;=0.8,B645&lt;=1.5),1,IF(AND(B645&gt;=0.5,B645&lt;=2),0.5,0))</f>
        <v>1</v>
      </c>
      <c r="M645">
        <f>IF(AND(C645&gt;=0.5,C645&lt;=2),1,IF(AND(C645&gt;=0.1,C645&lt;=5),0.5,0))</f>
        <v>0</v>
      </c>
      <c r="N645">
        <f>IF(AND(G645&gt;=4,G645&lt;=7),1,IF(AND(G645&gt;=3,G645&lt;=8),0.5,0))</f>
        <v>0</v>
      </c>
      <c r="O645">
        <f>IF(AND(F645&gt;=270,F645&lt;=310),1,IF(AND(F645&gt;=250,F645&lt;=330),0.5,0))</f>
        <v>0</v>
      </c>
      <c r="P645">
        <f>IF(AND(E645&gt;=0.8,E645&lt;=1.5),1,IF(AND(E645&gt;=0.5,E645&lt;=2),0.5,0))</f>
        <v>0</v>
      </c>
      <c r="Q645">
        <f>IF(AND(H645&gt;=5000,H645&lt;=6000),1,IF(AND(H645&gt;=4000,H645&lt;5000),0.5,0))</f>
        <v>0</v>
      </c>
      <c r="R645">
        <f>0.35*AVERAGE(L645:M645:N645)+0.3*O645+0.2*P645+0.15*Q645</f>
        <v>0.11666666666666665</v>
      </c>
      <c r="S645" t="str">
        <f>LEFT(K645,1)</f>
        <v>M</v>
      </c>
      <c r="T645">
        <f>IF(S645="G",1,0)</f>
        <v>0</v>
      </c>
      <c r="U645">
        <f>IF(S645="K",1,0)</f>
        <v>0</v>
      </c>
      <c r="V645">
        <f>IF(S645="M",1,0)</f>
        <v>1</v>
      </c>
      <c r="W645">
        <f>IF(S645="F",1,0)</f>
        <v>0</v>
      </c>
    </row>
    <row r="646" spans="1:23" x14ac:dyDescent="0.3">
      <c r="A646" t="s">
        <v>67</v>
      </c>
      <c r="B646">
        <v>0.95299999999999996</v>
      </c>
      <c r="D646">
        <v>27.80978</v>
      </c>
      <c r="E646">
        <v>0.13400000000000001</v>
      </c>
      <c r="G646" t="str">
        <f>IF(OR(C646="",B646="",B646=0),"",5.51*(C646/(B646^3)))</f>
        <v/>
      </c>
      <c r="H646">
        <v>3459</v>
      </c>
      <c r="I646">
        <v>2.2764404275969517E-2</v>
      </c>
      <c r="J646">
        <v>-7.0000000000000007E-2</v>
      </c>
      <c r="K646" t="s">
        <v>0</v>
      </c>
      <c r="L646">
        <f>IF(AND(B646&gt;=0.8,B646&lt;=1.5),1,IF(AND(B646&gt;=0.5,B646&lt;=2),0.5,0))</f>
        <v>1</v>
      </c>
      <c r="M646">
        <f>IF(AND(C646&gt;=0.5,C646&lt;=2),1,IF(AND(C646&gt;=0.1,C646&lt;=5),0.5,0))</f>
        <v>0</v>
      </c>
      <c r="N646">
        <f>IF(AND(G646&gt;=4,G646&lt;=7),1,IF(AND(G646&gt;=3,G646&lt;=8),0.5,0))</f>
        <v>0</v>
      </c>
      <c r="O646">
        <f>IF(AND(F646&gt;=270,F646&lt;=310),1,IF(AND(F646&gt;=250,F646&lt;=330),0.5,0))</f>
        <v>0</v>
      </c>
      <c r="P646">
        <f>IF(AND(E646&gt;=0.8,E646&lt;=1.5),1,IF(AND(E646&gt;=0.5,E646&lt;=2),0.5,0))</f>
        <v>0</v>
      </c>
      <c r="Q646">
        <f>IF(AND(H646&gt;=5000,H646&lt;=6000),1,IF(AND(H646&gt;=4000,H646&lt;5000),0.5,0))</f>
        <v>0</v>
      </c>
      <c r="R646">
        <f>0.35*AVERAGE(L646:M646:N646)+0.3*O646+0.2*P646+0.15*Q646</f>
        <v>0.11666666666666665</v>
      </c>
      <c r="S646" t="str">
        <f>LEFT(K646,1)</f>
        <v>M</v>
      </c>
      <c r="T646">
        <f>IF(S646="G",1,0)</f>
        <v>0</v>
      </c>
      <c r="U646">
        <f>IF(S646="K",1,0)</f>
        <v>0</v>
      </c>
      <c r="V646">
        <f>IF(S646="M",1,0)</f>
        <v>1</v>
      </c>
      <c r="W646">
        <f>IF(S646="F",1,0)</f>
        <v>0</v>
      </c>
    </row>
    <row r="647" spans="1:23" x14ac:dyDescent="0.3">
      <c r="A647" t="s">
        <v>66</v>
      </c>
      <c r="B647">
        <v>11.43316031</v>
      </c>
      <c r="C647">
        <v>114.41822652</v>
      </c>
      <c r="D647">
        <v>9.6910000000000007</v>
      </c>
      <c r="G647">
        <f>IF(OR(C647="",B647="",B647=0),"",5.51*(C647/(B647^3)))</f>
        <v>0.42184016850310424</v>
      </c>
      <c r="H647">
        <v>4700</v>
      </c>
      <c r="I647">
        <v>7.3595116166700656</v>
      </c>
      <c r="J647">
        <v>0.25</v>
      </c>
      <c r="L647">
        <f>IF(AND(B647&gt;=0.8,B647&lt;=1.5),1,IF(AND(B647&gt;=0.5,B647&lt;=2),0.5,0))</f>
        <v>0</v>
      </c>
      <c r="M647">
        <f>IF(AND(C647&gt;=0.5,C647&lt;=2),1,IF(AND(C647&gt;=0.1,C647&lt;=5),0.5,0))</f>
        <v>0</v>
      </c>
      <c r="N647">
        <f>IF(AND(G647&gt;=4,G647&lt;=7),1,IF(AND(G647&gt;=3,G647&lt;=8),0.5,0))</f>
        <v>0</v>
      </c>
      <c r="O647">
        <f>IF(AND(F647&gt;=270,F647&lt;=310),1,IF(AND(F647&gt;=250,F647&lt;=330),0.5,0))</f>
        <v>0</v>
      </c>
      <c r="P647">
        <f>IF(AND(E647&gt;=0.8,E647&lt;=1.5),1,IF(AND(E647&gt;=0.5,E647&lt;=2),0.5,0))</f>
        <v>0</v>
      </c>
      <c r="Q647">
        <f>IF(AND(H647&gt;=5000,H647&lt;=6000),1,IF(AND(H647&gt;=4000,H647&lt;5000),0.5,0))</f>
        <v>0.5</v>
      </c>
      <c r="R647">
        <f>0.35*AVERAGE(L647:M647:N647)+0.3*O647+0.2*P647+0.15*Q647</f>
        <v>7.4999999999999997E-2</v>
      </c>
      <c r="S647" t="str">
        <f>LEFT(K647,1)</f>
        <v/>
      </c>
      <c r="T647">
        <f>IF(S647="G",1,0)</f>
        <v>0</v>
      </c>
      <c r="U647">
        <f>IF(S647="K",1,0)</f>
        <v>0</v>
      </c>
      <c r="V647">
        <f>IF(S647="M",1,0)</f>
        <v>0</v>
      </c>
      <c r="W647">
        <f>IF(S647="F",1,0)</f>
        <v>0</v>
      </c>
    </row>
    <row r="648" spans="1:23" x14ac:dyDescent="0.3">
      <c r="A648" t="s">
        <v>65</v>
      </c>
      <c r="B648">
        <v>2.0489999999999999</v>
      </c>
      <c r="D648">
        <v>9.5313610000000004</v>
      </c>
      <c r="E648">
        <v>7.9280000000000003E-2</v>
      </c>
      <c r="F648">
        <v>650</v>
      </c>
      <c r="G648" t="str">
        <f>IF(OR(C648="",B648="",B648=0),"",5.51*(C648/(B648^3)))</f>
        <v/>
      </c>
      <c r="H648">
        <v>4622</v>
      </c>
      <c r="I648">
        <v>0.18600705108895232</v>
      </c>
      <c r="J648">
        <v>-0.02</v>
      </c>
      <c r="K648" t="s">
        <v>62</v>
      </c>
      <c r="L648">
        <f>IF(AND(B648&gt;=0.8,B648&lt;=1.5),1,IF(AND(B648&gt;=0.5,B648&lt;=2),0.5,0))</f>
        <v>0</v>
      </c>
      <c r="M648">
        <f>IF(AND(C648&gt;=0.5,C648&lt;=2),1,IF(AND(C648&gt;=0.1,C648&lt;=5),0.5,0))</f>
        <v>0</v>
      </c>
      <c r="N648">
        <f>IF(AND(G648&gt;=4,G648&lt;=7),1,IF(AND(G648&gt;=3,G648&lt;=8),0.5,0))</f>
        <v>0</v>
      </c>
      <c r="O648">
        <f>IF(AND(F648&gt;=270,F648&lt;=310),1,IF(AND(F648&gt;=250,F648&lt;=330),0.5,0))</f>
        <v>0</v>
      </c>
      <c r="P648">
        <f>IF(AND(E648&gt;=0.8,E648&lt;=1.5),1,IF(AND(E648&gt;=0.5,E648&lt;=2),0.5,0))</f>
        <v>0</v>
      </c>
      <c r="Q648">
        <f>IF(AND(H648&gt;=5000,H648&lt;=6000),1,IF(AND(H648&gt;=4000,H648&lt;5000),0.5,0))</f>
        <v>0.5</v>
      </c>
      <c r="R648">
        <f>0.35*AVERAGE(L648:M648:N648)+0.3*O648+0.2*P648+0.15*Q648</f>
        <v>7.4999999999999997E-2</v>
      </c>
      <c r="S648" t="str">
        <f>LEFT(K648,1)</f>
        <v>K</v>
      </c>
      <c r="T648">
        <f>IF(S648="G",1,0)</f>
        <v>0</v>
      </c>
      <c r="U648">
        <f>IF(S648="K",1,0)</f>
        <v>1</v>
      </c>
      <c r="V648">
        <f>IF(S648="M",1,0)</f>
        <v>0</v>
      </c>
      <c r="W648">
        <f>IF(S648="F",1,0)</f>
        <v>0</v>
      </c>
    </row>
    <row r="649" spans="1:23" x14ac:dyDescent="0.3">
      <c r="A649" t="s">
        <v>64</v>
      </c>
      <c r="B649">
        <v>2.7010000000000001</v>
      </c>
      <c r="D649">
        <v>51.699060000000003</v>
      </c>
      <c r="E649">
        <v>0.2447</v>
      </c>
      <c r="F649">
        <v>369.9</v>
      </c>
      <c r="G649" t="str">
        <f>IF(OR(C649="",B649="",B649=0),"",5.51*(C649/(B649^3)))</f>
        <v/>
      </c>
      <c r="H649">
        <v>4622</v>
      </c>
      <c r="I649">
        <v>0.18600705108895232</v>
      </c>
      <c r="J649">
        <v>-0.02</v>
      </c>
      <c r="K649" t="s">
        <v>62</v>
      </c>
      <c r="L649">
        <f>IF(AND(B649&gt;=0.8,B649&lt;=1.5),1,IF(AND(B649&gt;=0.5,B649&lt;=2),0.5,0))</f>
        <v>0</v>
      </c>
      <c r="M649">
        <f>IF(AND(C649&gt;=0.5,C649&lt;=2),1,IF(AND(C649&gt;=0.1,C649&lt;=5),0.5,0))</f>
        <v>0</v>
      </c>
      <c r="N649">
        <f>IF(AND(G649&gt;=4,G649&lt;=7),1,IF(AND(G649&gt;=3,G649&lt;=8),0.5,0))</f>
        <v>0</v>
      </c>
      <c r="O649">
        <f>IF(AND(F649&gt;=270,F649&lt;=310),1,IF(AND(F649&gt;=250,F649&lt;=330),0.5,0))</f>
        <v>0</v>
      </c>
      <c r="P649">
        <f>IF(AND(E649&gt;=0.8,E649&lt;=1.5),1,IF(AND(E649&gt;=0.5,E649&lt;=2),0.5,0))</f>
        <v>0</v>
      </c>
      <c r="Q649">
        <f>IF(AND(H649&gt;=5000,H649&lt;=6000),1,IF(AND(H649&gt;=4000,H649&lt;5000),0.5,0))</f>
        <v>0.5</v>
      </c>
      <c r="R649">
        <f>0.35*AVERAGE(L649:M649:N649)+0.3*O649+0.2*P649+0.15*Q649</f>
        <v>7.4999999999999997E-2</v>
      </c>
      <c r="S649" t="str">
        <f>LEFT(K649,1)</f>
        <v>K</v>
      </c>
      <c r="T649">
        <f>IF(S649="G",1,0)</f>
        <v>0</v>
      </c>
      <c r="U649">
        <f>IF(S649="K",1,0)</f>
        <v>1</v>
      </c>
      <c r="V649">
        <f>IF(S649="M",1,0)</f>
        <v>0</v>
      </c>
      <c r="W649">
        <f>IF(S649="F",1,0)</f>
        <v>0</v>
      </c>
    </row>
    <row r="650" spans="1:23" x14ac:dyDescent="0.3">
      <c r="A650" t="s">
        <v>63</v>
      </c>
      <c r="B650">
        <v>2.4740000000000002</v>
      </c>
      <c r="D650">
        <v>84.839600000000004</v>
      </c>
      <c r="E650">
        <v>0.34050000000000002</v>
      </c>
      <c r="F650">
        <v>313.60000000000002</v>
      </c>
      <c r="G650" t="str">
        <f>IF(OR(C650="",B650="",B650=0),"",5.51*(C650/(B650^3)))</f>
        <v/>
      </c>
      <c r="H650">
        <v>4622</v>
      </c>
      <c r="I650">
        <v>0.18600705108895232</v>
      </c>
      <c r="J650">
        <v>-0.02</v>
      </c>
      <c r="K650" t="s">
        <v>62</v>
      </c>
      <c r="L650">
        <f>IF(AND(B650&gt;=0.8,B650&lt;=1.5),1,IF(AND(B650&gt;=0.5,B650&lt;=2),0.5,0))</f>
        <v>0</v>
      </c>
      <c r="M650">
        <f>IF(AND(C650&gt;=0.5,C650&lt;=2),1,IF(AND(C650&gt;=0.1,C650&lt;=5),0.5,0))</f>
        <v>0</v>
      </c>
      <c r="N650">
        <f>IF(AND(G650&gt;=4,G650&lt;=7),1,IF(AND(G650&gt;=3,G650&lt;=8),0.5,0))</f>
        <v>0</v>
      </c>
      <c r="O650">
        <f>IF(AND(F650&gt;=270,F650&lt;=310),1,IF(AND(F650&gt;=250,F650&lt;=330),0.5,0))</f>
        <v>0.5</v>
      </c>
      <c r="P650">
        <f>IF(AND(E650&gt;=0.8,E650&lt;=1.5),1,IF(AND(E650&gt;=0.5,E650&lt;=2),0.5,0))</f>
        <v>0</v>
      </c>
      <c r="Q650">
        <f>IF(AND(H650&gt;=5000,H650&lt;=6000),1,IF(AND(H650&gt;=4000,H650&lt;5000),0.5,0))</f>
        <v>0.5</v>
      </c>
      <c r="R650">
        <f>0.35*AVERAGE(L650:M650:N650)+0.3*O650+0.2*P650+0.15*Q650</f>
        <v>0.22499999999999998</v>
      </c>
      <c r="S650" t="str">
        <f>LEFT(K650,1)</f>
        <v>K</v>
      </c>
      <c r="T650">
        <f>IF(S650="G",1,0)</f>
        <v>0</v>
      </c>
      <c r="U650">
        <f>IF(S650="K",1,0)</f>
        <v>1</v>
      </c>
      <c r="V650">
        <f>IF(S650="M",1,0)</f>
        <v>0</v>
      </c>
      <c r="W650">
        <f>IF(S650="F",1,0)</f>
        <v>0</v>
      </c>
    </row>
    <row r="651" spans="1:23" x14ac:dyDescent="0.3">
      <c r="A651" t="s">
        <v>61</v>
      </c>
      <c r="B651">
        <v>13.2</v>
      </c>
      <c r="C651">
        <v>224</v>
      </c>
      <c r="D651">
        <v>2.6520616600000002</v>
      </c>
      <c r="E651">
        <v>2.6030000000000001E-2</v>
      </c>
      <c r="F651">
        <v>593</v>
      </c>
      <c r="G651">
        <f>IF(OR(C651="",B651="",B651=0),"",5.51*(C651/(B651^3)))</f>
        <v>0.53663355316247874</v>
      </c>
      <c r="H651">
        <v>3363</v>
      </c>
      <c r="I651">
        <v>1.4138767474692775E-2</v>
      </c>
      <c r="J651">
        <v>-0.08</v>
      </c>
      <c r="K651" t="s">
        <v>60</v>
      </c>
      <c r="L651">
        <f>IF(AND(B651&gt;=0.8,B651&lt;=1.5),1,IF(AND(B651&gt;=0.5,B651&lt;=2),0.5,0))</f>
        <v>0</v>
      </c>
      <c r="M651">
        <f>IF(AND(C651&gt;=0.5,C651&lt;=2),1,IF(AND(C651&gt;=0.1,C651&lt;=5),0.5,0))</f>
        <v>0</v>
      </c>
      <c r="N651">
        <f>IF(AND(G651&gt;=4,G651&lt;=7),1,IF(AND(G651&gt;=3,G651&lt;=8),0.5,0))</f>
        <v>0</v>
      </c>
      <c r="O651">
        <f>IF(AND(F651&gt;=270,F651&lt;=310),1,IF(AND(F651&gt;=250,F651&lt;=330),0.5,0))</f>
        <v>0</v>
      </c>
      <c r="P651">
        <f>IF(AND(E651&gt;=0.8,E651&lt;=1.5),1,IF(AND(E651&gt;=0.5,E651&lt;=2),0.5,0))</f>
        <v>0</v>
      </c>
      <c r="Q651">
        <f>IF(AND(H651&gt;=5000,H651&lt;=6000),1,IF(AND(H651&gt;=4000,H651&lt;5000),0.5,0))</f>
        <v>0</v>
      </c>
      <c r="R651">
        <f>0.35*AVERAGE(L651:M651:N651)+0.3*O651+0.2*P651+0.15*Q651</f>
        <v>0</v>
      </c>
      <c r="S651" t="str">
        <f>LEFT(K651,1)</f>
        <v>M</v>
      </c>
      <c r="T651">
        <f>IF(S651="G",1,0)</f>
        <v>0</v>
      </c>
      <c r="U651">
        <f>IF(S651="K",1,0)</f>
        <v>0</v>
      </c>
      <c r="V651">
        <f>IF(S651="M",1,0)</f>
        <v>1</v>
      </c>
      <c r="W651">
        <f>IF(S651="F",1,0)</f>
        <v>0</v>
      </c>
    </row>
    <row r="652" spans="1:23" x14ac:dyDescent="0.3">
      <c r="A652" t="s">
        <v>59</v>
      </c>
      <c r="B652">
        <v>1.55</v>
      </c>
      <c r="D652">
        <v>19.288004000000001</v>
      </c>
      <c r="E652">
        <v>8.3000000000000004E-2</v>
      </c>
      <c r="F652">
        <v>234</v>
      </c>
      <c r="G652" t="str">
        <f>IF(OR(C652="",B652="",B652=0),"",5.51*(C652/(B652^3)))</f>
        <v/>
      </c>
      <c r="H652">
        <v>3075</v>
      </c>
      <c r="I652">
        <v>4.6205408463876607E-3</v>
      </c>
      <c r="J652">
        <v>-0.25</v>
      </c>
      <c r="K652" t="s">
        <v>58</v>
      </c>
      <c r="L652">
        <f>IF(AND(B652&gt;=0.8,B652&lt;=1.5),1,IF(AND(B652&gt;=0.5,B652&lt;=2),0.5,0))</f>
        <v>0.5</v>
      </c>
      <c r="M652">
        <f>IF(AND(C652&gt;=0.5,C652&lt;=2),1,IF(AND(C652&gt;=0.1,C652&lt;=5),0.5,0))</f>
        <v>0</v>
      </c>
      <c r="N652">
        <f>IF(AND(G652&gt;=4,G652&lt;=7),1,IF(AND(G652&gt;=3,G652&lt;=8),0.5,0))</f>
        <v>0</v>
      </c>
      <c r="O652">
        <f>IF(AND(F652&gt;=270,F652&lt;=310),1,IF(AND(F652&gt;=250,F652&lt;=330),0.5,0))</f>
        <v>0</v>
      </c>
      <c r="P652">
        <f>IF(AND(E652&gt;=0.8,E652&lt;=1.5),1,IF(AND(E652&gt;=0.5,E652&lt;=2),0.5,0))</f>
        <v>0</v>
      </c>
      <c r="Q652">
        <f>IF(AND(H652&gt;=5000,H652&lt;=6000),1,IF(AND(H652&gt;=4000,H652&lt;5000),0.5,0))</f>
        <v>0</v>
      </c>
      <c r="R652">
        <f>0.35*AVERAGE(L652:M652:N652)+0.3*O652+0.2*P652+0.15*Q652</f>
        <v>5.8333333333333327E-2</v>
      </c>
      <c r="S652" t="str">
        <f>LEFT(K652,1)</f>
        <v>M</v>
      </c>
      <c r="T652">
        <f>IF(S652="G",1,0)</f>
        <v>0</v>
      </c>
      <c r="U652">
        <f>IF(S652="K",1,0)</f>
        <v>0</v>
      </c>
      <c r="V652">
        <f>IF(S652="M",1,0)</f>
        <v>1</v>
      </c>
      <c r="W652">
        <f>IF(S652="F",1,0)</f>
        <v>0</v>
      </c>
    </row>
    <row r="653" spans="1:23" x14ac:dyDescent="0.3">
      <c r="A653" t="s">
        <v>57</v>
      </c>
      <c r="B653">
        <v>1.992</v>
      </c>
      <c r="C653">
        <v>5.72</v>
      </c>
      <c r="D653">
        <v>4.8847649999999998</v>
      </c>
      <c r="E653">
        <v>6.1800000000000001E-2</v>
      </c>
      <c r="F653">
        <v>1055.8</v>
      </c>
      <c r="G653">
        <f>IF(OR(C653="",B653="",B653=0),"",5.51*(C653/(B653^3)))</f>
        <v>3.9873065429894283</v>
      </c>
      <c r="H653">
        <v>5585</v>
      </c>
      <c r="I653">
        <v>0.78616731611135193</v>
      </c>
      <c r="J653">
        <v>-0.04</v>
      </c>
      <c r="K653" t="s">
        <v>38</v>
      </c>
      <c r="L653">
        <f>IF(AND(B653&gt;=0.8,B653&lt;=1.5),1,IF(AND(B653&gt;=0.5,B653&lt;=2),0.5,0))</f>
        <v>0.5</v>
      </c>
      <c r="M653">
        <f>IF(AND(C653&gt;=0.5,C653&lt;=2),1,IF(AND(C653&gt;=0.1,C653&lt;=5),0.5,0))</f>
        <v>0</v>
      </c>
      <c r="N653">
        <f>IF(AND(G653&gt;=4,G653&lt;=7),1,IF(AND(G653&gt;=3,G653&lt;=8),0.5,0))</f>
        <v>0.5</v>
      </c>
      <c r="O653">
        <f>IF(AND(F653&gt;=270,F653&lt;=310),1,IF(AND(F653&gt;=250,F653&lt;=330),0.5,0))</f>
        <v>0</v>
      </c>
      <c r="P653">
        <f>IF(AND(E653&gt;=0.8,E653&lt;=1.5),1,IF(AND(E653&gt;=0.5,E653&lt;=2),0.5,0))</f>
        <v>0</v>
      </c>
      <c r="Q653">
        <f>IF(AND(H653&gt;=5000,H653&lt;=6000),1,IF(AND(H653&gt;=4000,H653&lt;5000),0.5,0))</f>
        <v>1</v>
      </c>
      <c r="R653">
        <f>0.35*AVERAGE(L653:M653:N653)+0.3*O653+0.2*P653+0.15*Q653</f>
        <v>0.26666666666666666</v>
      </c>
      <c r="S653" t="str">
        <f>LEFT(K653,1)</f>
        <v>G</v>
      </c>
      <c r="T653">
        <f>IF(S653="G",1,0)</f>
        <v>1</v>
      </c>
      <c r="U653">
        <f>IF(S653="K",1,0)</f>
        <v>0</v>
      </c>
      <c r="V653">
        <f>IF(S653="M",1,0)</f>
        <v>0</v>
      </c>
      <c r="W653">
        <f>IF(S653="F",1,0)</f>
        <v>0</v>
      </c>
    </row>
    <row r="654" spans="1:23" x14ac:dyDescent="0.3">
      <c r="A654" t="s">
        <v>56</v>
      </c>
      <c r="B654">
        <v>7.31</v>
      </c>
      <c r="C654">
        <v>18.100000000000001</v>
      </c>
      <c r="D654">
        <v>11.530868999999999</v>
      </c>
      <c r="E654">
        <v>0.1019</v>
      </c>
      <c r="F654">
        <v>878</v>
      </c>
      <c r="G654">
        <f>IF(OR(C654="",B654="",B654=0),"",5.51*(C654/(B654^3)))</f>
        <v>0.25531600650621511</v>
      </c>
      <c r="H654">
        <v>5720</v>
      </c>
      <c r="I654">
        <v>1.0288561661161384</v>
      </c>
      <c r="J654">
        <v>0.25</v>
      </c>
      <c r="K654" t="s">
        <v>53</v>
      </c>
      <c r="L654">
        <f>IF(AND(B654&gt;=0.8,B654&lt;=1.5),1,IF(AND(B654&gt;=0.5,B654&lt;=2),0.5,0))</f>
        <v>0</v>
      </c>
      <c r="M654">
        <f>IF(AND(C654&gt;=0.5,C654&lt;=2),1,IF(AND(C654&gt;=0.1,C654&lt;=5),0.5,0))</f>
        <v>0</v>
      </c>
      <c r="N654">
        <f>IF(AND(G654&gt;=4,G654&lt;=7),1,IF(AND(G654&gt;=3,G654&lt;=8),0.5,0))</f>
        <v>0</v>
      </c>
      <c r="O654">
        <f>IF(AND(F654&gt;=270,F654&lt;=310),1,IF(AND(F654&gt;=250,F654&lt;=330),0.5,0))</f>
        <v>0</v>
      </c>
      <c r="P654">
        <f>IF(AND(E654&gt;=0.8,E654&lt;=1.5),1,IF(AND(E654&gt;=0.5,E654&lt;=2),0.5,0))</f>
        <v>0</v>
      </c>
      <c r="Q654">
        <f>IF(AND(H654&gt;=5000,H654&lt;=6000),1,IF(AND(H654&gt;=4000,H654&lt;5000),0.5,0))</f>
        <v>1</v>
      </c>
      <c r="R654">
        <f>0.35*AVERAGE(L654:M654:N654)+0.3*O654+0.2*P654+0.15*Q654</f>
        <v>0.15</v>
      </c>
      <c r="S654" t="str">
        <f>LEFT(K654,1)</f>
        <v>G</v>
      </c>
      <c r="T654">
        <f>IF(S654="G",1,0)</f>
        <v>1</v>
      </c>
      <c r="U654">
        <f>IF(S654="K",1,0)</f>
        <v>0</v>
      </c>
      <c r="V654">
        <f>IF(S654="M",1,0)</f>
        <v>0</v>
      </c>
      <c r="W654">
        <f>IF(S654="F",1,0)</f>
        <v>0</v>
      </c>
    </row>
    <row r="655" spans="1:23" x14ac:dyDescent="0.3">
      <c r="A655" t="s">
        <v>55</v>
      </c>
      <c r="B655">
        <v>10.81</v>
      </c>
      <c r="C655">
        <v>131</v>
      </c>
      <c r="D655">
        <v>22.5687423</v>
      </c>
      <c r="E655">
        <v>0.1595</v>
      </c>
      <c r="F655">
        <v>702</v>
      </c>
      <c r="G655">
        <f>IF(OR(C655="",B655="",B655=0),"",5.51*(C655/(B655^3)))</f>
        <v>0.57140733716485426</v>
      </c>
      <c r="H655">
        <v>5720</v>
      </c>
      <c r="I655">
        <v>1.0288561661161384</v>
      </c>
      <c r="J655">
        <v>0.25</v>
      </c>
      <c r="K655" t="s">
        <v>53</v>
      </c>
      <c r="L655">
        <f>IF(AND(B655&gt;=0.8,B655&lt;=1.5),1,IF(AND(B655&gt;=0.5,B655&lt;=2),0.5,0))</f>
        <v>0</v>
      </c>
      <c r="M655">
        <f>IF(AND(C655&gt;=0.5,C655&lt;=2),1,IF(AND(C655&gt;=0.1,C655&lt;=5),0.5,0))</f>
        <v>0</v>
      </c>
      <c r="N655">
        <f>IF(AND(G655&gt;=4,G655&lt;=7),1,IF(AND(G655&gt;=3,G655&lt;=8),0.5,0))</f>
        <v>0</v>
      </c>
      <c r="O655">
        <f>IF(AND(F655&gt;=270,F655&lt;=310),1,IF(AND(F655&gt;=250,F655&lt;=330),0.5,0))</f>
        <v>0</v>
      </c>
      <c r="P655">
        <f>IF(AND(E655&gt;=0.8,E655&lt;=1.5),1,IF(AND(E655&gt;=0.5,E655&lt;=2),0.5,0))</f>
        <v>0</v>
      </c>
      <c r="Q655">
        <f>IF(AND(H655&gt;=5000,H655&lt;=6000),1,IF(AND(H655&gt;=4000,H655&lt;5000),0.5,0))</f>
        <v>1</v>
      </c>
      <c r="R655">
        <f>0.35*AVERAGE(L655:M655:N655)+0.3*O655+0.2*P655+0.15*Q655</f>
        <v>0.15</v>
      </c>
      <c r="S655" t="str">
        <f>LEFT(K655,1)</f>
        <v>G</v>
      </c>
      <c r="T655">
        <f>IF(S655="G",1,0)</f>
        <v>1</v>
      </c>
      <c r="U655">
        <f>IF(S655="K",1,0)</f>
        <v>0</v>
      </c>
      <c r="V655">
        <f>IF(S655="M",1,0)</f>
        <v>0</v>
      </c>
      <c r="W655">
        <f>IF(S655="F",1,0)</f>
        <v>0</v>
      </c>
    </row>
    <row r="656" spans="1:23" x14ac:dyDescent="0.3">
      <c r="A656" t="s">
        <v>54</v>
      </c>
      <c r="B656">
        <v>10.52</v>
      </c>
      <c r="C656">
        <v>190</v>
      </c>
      <c r="D656">
        <v>48.864468000000002</v>
      </c>
      <c r="E656">
        <v>0.26719999999999999</v>
      </c>
      <c r="F656">
        <v>542.4</v>
      </c>
      <c r="G656">
        <f>IF(OR(C656="",B656="",B656=0),"",5.51*(C656/(B656^3)))</f>
        <v>0.89920348282354901</v>
      </c>
      <c r="H656">
        <v>5720</v>
      </c>
      <c r="I656">
        <v>1.0288561661161384</v>
      </c>
      <c r="J656">
        <v>0.25</v>
      </c>
      <c r="K656" t="s">
        <v>53</v>
      </c>
      <c r="L656">
        <f>IF(AND(B656&gt;=0.8,B656&lt;=1.5),1,IF(AND(B656&gt;=0.5,B656&lt;=2),0.5,0))</f>
        <v>0</v>
      </c>
      <c r="M656">
        <f>IF(AND(C656&gt;=0.5,C656&lt;=2),1,IF(AND(C656&gt;=0.1,C656&lt;=5),0.5,0))</f>
        <v>0</v>
      </c>
      <c r="N656">
        <f>IF(AND(G656&gt;=4,G656&lt;=7),1,IF(AND(G656&gt;=3,G656&lt;=8),0.5,0))</f>
        <v>0</v>
      </c>
      <c r="O656">
        <f>IF(AND(F656&gt;=270,F656&lt;=310),1,IF(AND(F656&gt;=250,F656&lt;=330),0.5,0))</f>
        <v>0</v>
      </c>
      <c r="P656">
        <f>IF(AND(E656&gt;=0.8,E656&lt;=1.5),1,IF(AND(E656&gt;=0.5,E656&lt;=2),0.5,0))</f>
        <v>0</v>
      </c>
      <c r="Q656">
        <f>IF(AND(H656&gt;=5000,H656&lt;=6000),1,IF(AND(H656&gt;=4000,H656&lt;5000),0.5,0))</f>
        <v>1</v>
      </c>
      <c r="R656">
        <f>0.35*AVERAGE(L656:M656:N656)+0.3*O656+0.2*P656+0.15*Q656</f>
        <v>0.15</v>
      </c>
      <c r="S656" t="str">
        <f>LEFT(K656,1)</f>
        <v>G</v>
      </c>
      <c r="T656">
        <f>IF(S656="G",1,0)</f>
        <v>1</v>
      </c>
      <c r="U656">
        <f>IF(S656="K",1,0)</f>
        <v>0</v>
      </c>
      <c r="V656">
        <f>IF(S656="M",1,0)</f>
        <v>0</v>
      </c>
      <c r="W656">
        <f>IF(S656="F",1,0)</f>
        <v>0</v>
      </c>
    </row>
    <row r="657" spans="1:23" x14ac:dyDescent="0.3">
      <c r="A657" t="s">
        <v>52</v>
      </c>
      <c r="B657">
        <v>2.81</v>
      </c>
      <c r="C657">
        <v>9.83</v>
      </c>
      <c r="D657">
        <v>1.2392494999999999</v>
      </c>
      <c r="E657">
        <v>1.7999999999999999E-2</v>
      </c>
      <c r="F657">
        <v>934</v>
      </c>
      <c r="G657">
        <f>IF(OR(C657="",B657="",B657=0),"",5.51*(C657/(B657^3)))</f>
        <v>2.4411032952390883</v>
      </c>
      <c r="H657">
        <v>3657</v>
      </c>
      <c r="I657">
        <v>4.0923469630225771E-2</v>
      </c>
      <c r="J657">
        <v>0.19600000000000001</v>
      </c>
      <c r="K657" t="s">
        <v>51</v>
      </c>
      <c r="L657">
        <f>IF(AND(B657&gt;=0.8,B657&lt;=1.5),1,IF(AND(B657&gt;=0.5,B657&lt;=2),0.5,0))</f>
        <v>0</v>
      </c>
      <c r="M657">
        <f>IF(AND(C657&gt;=0.5,C657&lt;=2),1,IF(AND(C657&gt;=0.1,C657&lt;=5),0.5,0))</f>
        <v>0</v>
      </c>
      <c r="N657">
        <f>IF(AND(G657&gt;=4,G657&lt;=7),1,IF(AND(G657&gt;=3,G657&lt;=8),0.5,0))</f>
        <v>0</v>
      </c>
      <c r="O657">
        <f>IF(AND(F657&gt;=270,F657&lt;=310),1,IF(AND(F657&gt;=250,F657&lt;=330),0.5,0))</f>
        <v>0</v>
      </c>
      <c r="P657">
        <f>IF(AND(E657&gt;=0.8,E657&lt;=1.5),1,IF(AND(E657&gt;=0.5,E657&lt;=2),0.5,0))</f>
        <v>0</v>
      </c>
      <c r="Q657">
        <f>IF(AND(H657&gt;=5000,H657&lt;=6000),1,IF(AND(H657&gt;=4000,H657&lt;5000),0.5,0))</f>
        <v>0</v>
      </c>
      <c r="R657">
        <f>0.35*AVERAGE(L657:M657:N657)+0.3*O657+0.2*P657+0.15*Q657</f>
        <v>0</v>
      </c>
      <c r="S657" t="str">
        <f>LEFT(K657,1)</f>
        <v>M</v>
      </c>
      <c r="T657">
        <f>IF(S657="G",1,0)</f>
        <v>0</v>
      </c>
      <c r="U657">
        <f>IF(S657="K",1,0)</f>
        <v>0</v>
      </c>
      <c r="V657">
        <f>IF(S657="M",1,0)</f>
        <v>1</v>
      </c>
      <c r="W657">
        <f>IF(S657="F",1,0)</f>
        <v>0</v>
      </c>
    </row>
    <row r="658" spans="1:23" x14ac:dyDescent="0.3">
      <c r="A658" t="s">
        <v>50</v>
      </c>
      <c r="B658">
        <v>2.5</v>
      </c>
      <c r="C658">
        <v>10.5</v>
      </c>
      <c r="D658">
        <v>17.46819</v>
      </c>
      <c r="E658">
        <v>0.122</v>
      </c>
      <c r="F658">
        <v>641</v>
      </c>
      <c r="G658">
        <f>IF(OR(C658="",B658="",B658=0),"",5.51*(C658/(B658^3)))</f>
        <v>3.7027200000000002</v>
      </c>
      <c r="H658">
        <v>5278</v>
      </c>
      <c r="I658">
        <v>0.4236006315059947</v>
      </c>
      <c r="J658">
        <v>-0.27</v>
      </c>
      <c r="K658" t="s">
        <v>49</v>
      </c>
      <c r="L658">
        <f>IF(AND(B658&gt;=0.8,B658&lt;=1.5),1,IF(AND(B658&gt;=0.5,B658&lt;=2),0.5,0))</f>
        <v>0</v>
      </c>
      <c r="M658">
        <f>IF(AND(C658&gt;=0.5,C658&lt;=2),1,IF(AND(C658&gt;=0.1,C658&lt;=5),0.5,0))</f>
        <v>0</v>
      </c>
      <c r="N658">
        <f>IF(AND(G658&gt;=4,G658&lt;=7),1,IF(AND(G658&gt;=3,G658&lt;=8),0.5,0))</f>
        <v>0.5</v>
      </c>
      <c r="O658">
        <f>IF(AND(F658&gt;=270,F658&lt;=310),1,IF(AND(F658&gt;=250,F658&lt;=330),0.5,0))</f>
        <v>0</v>
      </c>
      <c r="P658">
        <f>IF(AND(E658&gt;=0.8,E658&lt;=1.5),1,IF(AND(E658&gt;=0.5,E658&lt;=2),0.5,0))</f>
        <v>0</v>
      </c>
      <c r="Q658">
        <f>IF(AND(H658&gt;=5000,H658&lt;=6000),1,IF(AND(H658&gt;=4000,H658&lt;5000),0.5,0))</f>
        <v>1</v>
      </c>
      <c r="R658">
        <f>0.35*AVERAGE(L658:M658:N658)+0.3*O658+0.2*P658+0.15*Q658</f>
        <v>0.20833333333333331</v>
      </c>
      <c r="S658" t="str">
        <f>LEFT(K658,1)</f>
        <v>K</v>
      </c>
      <c r="T658">
        <f>IF(S658="G",1,0)</f>
        <v>0</v>
      </c>
      <c r="U658">
        <f>IF(S658="K",1,0)</f>
        <v>1</v>
      </c>
      <c r="V658">
        <f>IF(S658="M",1,0)</f>
        <v>0</v>
      </c>
      <c r="W658">
        <f>IF(S658="F",1,0)</f>
        <v>0</v>
      </c>
    </row>
    <row r="659" spans="1:23" x14ac:dyDescent="0.3">
      <c r="A659" t="s">
        <v>48</v>
      </c>
      <c r="B659">
        <v>8.3394816400000007</v>
      </c>
      <c r="C659">
        <v>79.774930159999997</v>
      </c>
      <c r="D659">
        <v>3.4716825999999998</v>
      </c>
      <c r="E659">
        <v>3.4180000000000002E-2</v>
      </c>
      <c r="F659">
        <v>555.4</v>
      </c>
      <c r="G659">
        <f>IF(OR(C659="",B659="",B659=0),"",5.51*(C659/(B659^3)))</f>
        <v>0.75788072316867983</v>
      </c>
      <c r="H659">
        <v>3266</v>
      </c>
      <c r="I659">
        <v>1.8438790573988405E-2</v>
      </c>
      <c r="J659">
        <v>0.35699999999999998</v>
      </c>
      <c r="L659">
        <f>IF(AND(B659&gt;=0.8,B659&lt;=1.5),1,IF(AND(B659&gt;=0.5,B659&lt;=2),0.5,0))</f>
        <v>0</v>
      </c>
      <c r="M659">
        <f>IF(AND(C659&gt;=0.5,C659&lt;=2),1,IF(AND(C659&gt;=0.1,C659&lt;=5),0.5,0))</f>
        <v>0</v>
      </c>
      <c r="N659">
        <f>IF(AND(G659&gt;=4,G659&lt;=7),1,IF(AND(G659&gt;=3,G659&lt;=8),0.5,0))</f>
        <v>0</v>
      </c>
      <c r="O659">
        <f>IF(AND(F659&gt;=270,F659&lt;=310),1,IF(AND(F659&gt;=250,F659&lt;=330),0.5,0))</f>
        <v>0</v>
      </c>
      <c r="P659">
        <f>IF(AND(E659&gt;=0.8,E659&lt;=1.5),1,IF(AND(E659&gt;=0.5,E659&lt;=2),0.5,0))</f>
        <v>0</v>
      </c>
      <c r="Q659">
        <f>IF(AND(H659&gt;=5000,H659&lt;=6000),1,IF(AND(H659&gt;=4000,H659&lt;5000),0.5,0))</f>
        <v>0</v>
      </c>
      <c r="R659">
        <f>0.35*AVERAGE(L659:M659:N659)+0.3*O659+0.2*P659+0.15*Q659</f>
        <v>0</v>
      </c>
      <c r="S659" t="str">
        <f>LEFT(K659,1)</f>
        <v/>
      </c>
      <c r="T659">
        <f>IF(S659="G",1,0)</f>
        <v>0</v>
      </c>
      <c r="U659">
        <f>IF(S659="K",1,0)</f>
        <v>0</v>
      </c>
      <c r="V659">
        <f>IF(S659="M",1,0)</f>
        <v>0</v>
      </c>
      <c r="W659">
        <f>IF(S659="F",1,0)</f>
        <v>0</v>
      </c>
    </row>
    <row r="660" spans="1:23" x14ac:dyDescent="0.3">
      <c r="A660" t="s">
        <v>47</v>
      </c>
      <c r="B660">
        <v>2.2799999999999998</v>
      </c>
      <c r="C660">
        <v>9.7899999999999991</v>
      </c>
      <c r="D660">
        <v>5.6056999999999997</v>
      </c>
      <c r="E660">
        <v>0.06</v>
      </c>
      <c r="F660">
        <v>1038</v>
      </c>
      <c r="G660">
        <f>IF(OR(C660="",B660="",B660=0),"",5.51*(C660/(B660^3)))</f>
        <v>4.5512401251667178</v>
      </c>
      <c r="H660">
        <v>5450</v>
      </c>
      <c r="I660">
        <v>0.63688459630284555</v>
      </c>
      <c r="J660">
        <v>0.01</v>
      </c>
      <c r="K660" t="s">
        <v>38</v>
      </c>
      <c r="L660">
        <f>IF(AND(B660&gt;=0.8,B660&lt;=1.5),1,IF(AND(B660&gt;=0.5,B660&lt;=2),0.5,0))</f>
        <v>0</v>
      </c>
      <c r="M660">
        <f>IF(AND(C660&gt;=0.5,C660&lt;=2),1,IF(AND(C660&gt;=0.1,C660&lt;=5),0.5,0))</f>
        <v>0</v>
      </c>
      <c r="N660">
        <f>IF(AND(G660&gt;=4,G660&lt;=7),1,IF(AND(G660&gt;=3,G660&lt;=8),0.5,0))</f>
        <v>1</v>
      </c>
      <c r="O660">
        <f>IF(AND(F660&gt;=270,F660&lt;=310),1,IF(AND(F660&gt;=250,F660&lt;=330),0.5,0))</f>
        <v>0</v>
      </c>
      <c r="P660">
        <f>IF(AND(E660&gt;=0.8,E660&lt;=1.5),1,IF(AND(E660&gt;=0.5,E660&lt;=2),0.5,0))</f>
        <v>0</v>
      </c>
      <c r="Q660">
        <f>IF(AND(H660&gt;=5000,H660&lt;=6000),1,IF(AND(H660&gt;=4000,H660&lt;5000),0.5,0))</f>
        <v>1</v>
      </c>
      <c r="R660">
        <f>0.35*AVERAGE(L660:M660:N660)+0.3*O660+0.2*P660+0.15*Q660</f>
        <v>0.26666666666666666</v>
      </c>
      <c r="S660" t="str">
        <f>LEFT(K660,1)</f>
        <v>G</v>
      </c>
      <c r="T660">
        <f>IF(S660="G",1,0)</f>
        <v>1</v>
      </c>
      <c r="U660">
        <f>IF(S660="K",1,0)</f>
        <v>0</v>
      </c>
      <c r="V660">
        <f>IF(S660="M",1,0)</f>
        <v>0</v>
      </c>
      <c r="W660">
        <f>IF(S660="F",1,0)</f>
        <v>0</v>
      </c>
    </row>
    <row r="661" spans="1:23" x14ac:dyDescent="0.3">
      <c r="A661" t="s">
        <v>46</v>
      </c>
      <c r="B661">
        <v>2.63</v>
      </c>
      <c r="C661">
        <v>9.32</v>
      </c>
      <c r="D661">
        <v>12.2737</v>
      </c>
      <c r="E661">
        <v>0.1011</v>
      </c>
      <c r="F661">
        <v>800</v>
      </c>
      <c r="G661">
        <f>IF(OR(C661="",B661="",B661=0),"",5.51*(C661/(B661^3)))</f>
        <v>2.8229310180767921</v>
      </c>
      <c r="H661">
        <v>5450</v>
      </c>
      <c r="I661">
        <v>0.63688459630284555</v>
      </c>
      <c r="J661">
        <v>0.01</v>
      </c>
      <c r="K661" t="s">
        <v>38</v>
      </c>
      <c r="L661">
        <f>IF(AND(B661&gt;=0.8,B661&lt;=1.5),1,IF(AND(B661&gt;=0.5,B661&lt;=2),0.5,0))</f>
        <v>0</v>
      </c>
      <c r="M661">
        <f>IF(AND(C661&gt;=0.5,C661&lt;=2),1,IF(AND(C661&gt;=0.1,C661&lt;=5),0.5,0))</f>
        <v>0</v>
      </c>
      <c r="N661">
        <f>IF(AND(G661&gt;=4,G661&lt;=7),1,IF(AND(G661&gt;=3,G661&lt;=8),0.5,0))</f>
        <v>0</v>
      </c>
      <c r="O661">
        <f>IF(AND(F661&gt;=270,F661&lt;=310),1,IF(AND(F661&gt;=250,F661&lt;=330),0.5,0))</f>
        <v>0</v>
      </c>
      <c r="P661">
        <f>IF(AND(E661&gt;=0.8,E661&lt;=1.5),1,IF(AND(E661&gt;=0.5,E661&lt;=2),0.5,0))</f>
        <v>0</v>
      </c>
      <c r="Q661">
        <f>IF(AND(H661&gt;=5000,H661&lt;=6000),1,IF(AND(H661&gt;=4000,H661&lt;5000),0.5,0))</f>
        <v>1</v>
      </c>
      <c r="R661">
        <f>0.35*AVERAGE(L661:M661:N661)+0.3*O661+0.2*P661+0.15*Q661</f>
        <v>0.15</v>
      </c>
      <c r="S661" t="str">
        <f>LEFT(K661,1)</f>
        <v>G</v>
      </c>
      <c r="T661">
        <f>IF(S661="G",1,0)</f>
        <v>1</v>
      </c>
      <c r="U661">
        <f>IF(S661="K",1,0)</f>
        <v>0</v>
      </c>
      <c r="V661">
        <f>IF(S661="M",1,0)</f>
        <v>0</v>
      </c>
      <c r="W661">
        <f>IF(S661="F",1,0)</f>
        <v>0</v>
      </c>
    </row>
    <row r="662" spans="1:23" x14ac:dyDescent="0.3">
      <c r="A662" t="s">
        <v>45</v>
      </c>
      <c r="B662">
        <v>1.36</v>
      </c>
      <c r="C662">
        <v>2.4700000000000002</v>
      </c>
      <c r="D662">
        <v>2.3260155</v>
      </c>
      <c r="E662">
        <v>2.0799999999999999E-2</v>
      </c>
      <c r="F662">
        <v>543</v>
      </c>
      <c r="G662">
        <f>IF(OR(C662="",B662="",B662=0),"",5.51*(C662/(B662^3)))</f>
        <v>5.4104305541420707</v>
      </c>
      <c r="H662">
        <v>3370</v>
      </c>
      <c r="I662">
        <v>6.2285280301030161E-3</v>
      </c>
      <c r="J662">
        <v>-0.13</v>
      </c>
      <c r="K662" t="s">
        <v>10</v>
      </c>
      <c r="L662">
        <f>IF(AND(B662&gt;=0.8,B662&lt;=1.5),1,IF(AND(B662&gt;=0.5,B662&lt;=2),0.5,0))</f>
        <v>1</v>
      </c>
      <c r="M662">
        <f>IF(AND(C662&gt;=0.5,C662&lt;=2),1,IF(AND(C662&gt;=0.1,C662&lt;=5),0.5,0))</f>
        <v>0.5</v>
      </c>
      <c r="N662">
        <f>IF(AND(G662&gt;=4,G662&lt;=7),1,IF(AND(G662&gt;=3,G662&lt;=8),0.5,0))</f>
        <v>1</v>
      </c>
      <c r="O662">
        <f>IF(AND(F662&gt;=270,F662&lt;=310),1,IF(AND(F662&gt;=250,F662&lt;=330),0.5,0))</f>
        <v>0</v>
      </c>
      <c r="P662">
        <f>IF(AND(E662&gt;=0.8,E662&lt;=1.5),1,IF(AND(E662&gt;=0.5,E662&lt;=2),0.5,0))</f>
        <v>0</v>
      </c>
      <c r="Q662">
        <f>IF(AND(H662&gt;=5000,H662&lt;=6000),1,IF(AND(H662&gt;=4000,H662&lt;5000),0.5,0))</f>
        <v>0</v>
      </c>
      <c r="R662">
        <f>0.35*AVERAGE(L662:M662:N662)+0.3*O662+0.2*P662+0.15*Q662</f>
        <v>0.29166666666666669</v>
      </c>
      <c r="S662" t="str">
        <f>LEFT(K662,1)</f>
        <v>M</v>
      </c>
      <c r="T662">
        <f>IF(S662="G",1,0)</f>
        <v>0</v>
      </c>
      <c r="U662">
        <f>IF(S662="K",1,0)</f>
        <v>0</v>
      </c>
      <c r="V662">
        <f>IF(S662="M",1,0)</f>
        <v>1</v>
      </c>
      <c r="W662">
        <f>IF(S662="F",1,0)</f>
        <v>0</v>
      </c>
    </row>
    <row r="663" spans="1:23" x14ac:dyDescent="0.3">
      <c r="A663" t="s">
        <v>44</v>
      </c>
      <c r="B663">
        <v>1.798</v>
      </c>
      <c r="C663">
        <v>5</v>
      </c>
      <c r="D663">
        <v>8.2466200000000001</v>
      </c>
      <c r="E663">
        <v>6.5299999999999997E-2</v>
      </c>
      <c r="F663">
        <v>520</v>
      </c>
      <c r="G663">
        <f>IF(OR(C663="",B663="",B663=0),"",5.51*(C663/(B663^3)))</f>
        <v>4.7397184132292853</v>
      </c>
      <c r="H663">
        <v>3725</v>
      </c>
      <c r="I663">
        <v>5.1685605802985382E-2</v>
      </c>
      <c r="J663">
        <v>-0.21</v>
      </c>
      <c r="L663">
        <f>IF(AND(B663&gt;=0.8,B663&lt;=1.5),1,IF(AND(B663&gt;=0.5,B663&lt;=2),0.5,0))</f>
        <v>0.5</v>
      </c>
      <c r="M663">
        <f>IF(AND(C663&gt;=0.5,C663&lt;=2),1,IF(AND(C663&gt;=0.1,C663&lt;=5),0.5,0))</f>
        <v>0.5</v>
      </c>
      <c r="N663">
        <f>IF(AND(G663&gt;=4,G663&lt;=7),1,IF(AND(G663&gt;=3,G663&lt;=8),0.5,0))</f>
        <v>1</v>
      </c>
      <c r="O663">
        <f>IF(AND(F663&gt;=270,F663&lt;=310),1,IF(AND(F663&gt;=250,F663&lt;=330),0.5,0))</f>
        <v>0</v>
      </c>
      <c r="P663">
        <f>IF(AND(E663&gt;=0.8,E663&lt;=1.5),1,IF(AND(E663&gt;=0.5,E663&lt;=2),0.5,0))</f>
        <v>0</v>
      </c>
      <c r="Q663">
        <f>IF(AND(H663&gt;=5000,H663&lt;=6000),1,IF(AND(H663&gt;=4000,H663&lt;5000),0.5,0))</f>
        <v>0</v>
      </c>
      <c r="R663">
        <f>0.35*AVERAGE(L663:M663:N663)+0.3*O663+0.2*P663+0.15*Q663</f>
        <v>0.23333333333333331</v>
      </c>
      <c r="S663" t="str">
        <f>LEFT(K663,1)</f>
        <v/>
      </c>
      <c r="T663">
        <f>IF(S663="G",1,0)</f>
        <v>0</v>
      </c>
      <c r="U663">
        <f>IF(S663="K",1,0)</f>
        <v>0</v>
      </c>
      <c r="V663">
        <f>IF(S663="M",1,0)</f>
        <v>0</v>
      </c>
      <c r="W663">
        <f>IF(S663="F",1,0)</f>
        <v>0</v>
      </c>
    </row>
    <row r="664" spans="1:23" x14ac:dyDescent="0.3">
      <c r="A664" t="s">
        <v>43</v>
      </c>
      <c r="B664">
        <v>2.0470000000000002</v>
      </c>
      <c r="C664">
        <v>6.9</v>
      </c>
      <c r="D664">
        <v>15.665323000000001</v>
      </c>
      <c r="E664">
        <v>0.10009999999999999</v>
      </c>
      <c r="F664">
        <v>420</v>
      </c>
      <c r="G664">
        <f>IF(OR(C664="",B664="",B664=0),"",5.51*(C664/(B664^3)))</f>
        <v>4.4324838469549288</v>
      </c>
      <c r="H664">
        <v>3725</v>
      </c>
      <c r="I664">
        <v>5.1685605802985382E-2</v>
      </c>
      <c r="J664">
        <v>-0.21</v>
      </c>
      <c r="L664">
        <f>IF(AND(B664&gt;=0.8,B664&lt;=1.5),1,IF(AND(B664&gt;=0.5,B664&lt;=2),0.5,0))</f>
        <v>0</v>
      </c>
      <c r="M664">
        <f>IF(AND(C664&gt;=0.5,C664&lt;=2),1,IF(AND(C664&gt;=0.1,C664&lt;=5),0.5,0))</f>
        <v>0</v>
      </c>
      <c r="N664">
        <f>IF(AND(G664&gt;=4,G664&lt;=7),1,IF(AND(G664&gt;=3,G664&lt;=8),0.5,0))</f>
        <v>1</v>
      </c>
      <c r="O664">
        <f>IF(AND(F664&gt;=270,F664&lt;=310),1,IF(AND(F664&gt;=250,F664&lt;=330),0.5,0))</f>
        <v>0</v>
      </c>
      <c r="P664">
        <f>IF(AND(E664&gt;=0.8,E664&lt;=1.5),1,IF(AND(E664&gt;=0.5,E664&lt;=2),0.5,0))</f>
        <v>0</v>
      </c>
      <c r="Q664">
        <f>IF(AND(H664&gt;=5000,H664&lt;=6000),1,IF(AND(H664&gt;=4000,H664&lt;5000),0.5,0))</f>
        <v>0</v>
      </c>
      <c r="R664">
        <f>0.35*AVERAGE(L664:M664:N664)+0.3*O664+0.2*P664+0.15*Q664</f>
        <v>0.11666666666666665</v>
      </c>
      <c r="S664" t="str">
        <f>LEFT(K664,1)</f>
        <v/>
      </c>
      <c r="T664">
        <f>IF(S664="G",1,0)</f>
        <v>0</v>
      </c>
      <c r="U664">
        <f>IF(S664="K",1,0)</f>
        <v>0</v>
      </c>
      <c r="V664">
        <f>IF(S664="M",1,0)</f>
        <v>0</v>
      </c>
      <c r="W664">
        <f>IF(S664="F",1,0)</f>
        <v>0</v>
      </c>
    </row>
    <row r="665" spans="1:23" x14ac:dyDescent="0.3">
      <c r="A665" t="s">
        <v>42</v>
      </c>
      <c r="B665">
        <v>15.4</v>
      </c>
      <c r="C665">
        <v>878</v>
      </c>
      <c r="D665">
        <v>4.6336110000000001</v>
      </c>
      <c r="E665">
        <v>0.06</v>
      </c>
      <c r="F665">
        <v>1561</v>
      </c>
      <c r="G665">
        <f>IF(OR(C665="",B665="",B665=0),"",5.51*(C665/(B665^3)))</f>
        <v>1.3245975646886421</v>
      </c>
      <c r="H665">
        <v>6643</v>
      </c>
      <c r="I665">
        <v>5.1090373838991674</v>
      </c>
      <c r="J665">
        <v>0</v>
      </c>
      <c r="K665" t="s">
        <v>41</v>
      </c>
      <c r="L665">
        <f>IF(AND(B665&gt;=0.8,B665&lt;=1.5),1,IF(AND(B665&gt;=0.5,B665&lt;=2),0.5,0))</f>
        <v>0</v>
      </c>
      <c r="M665">
        <f>IF(AND(C665&gt;=0.5,C665&lt;=2),1,IF(AND(C665&gt;=0.1,C665&lt;=5),0.5,0))</f>
        <v>0</v>
      </c>
      <c r="N665">
        <f>IF(AND(G665&gt;=4,G665&lt;=7),1,IF(AND(G665&gt;=3,G665&lt;=8),0.5,0))</f>
        <v>0</v>
      </c>
      <c r="O665">
        <f>IF(AND(F665&gt;=270,F665&lt;=310),1,IF(AND(F665&gt;=250,F665&lt;=330),0.5,0))</f>
        <v>0</v>
      </c>
      <c r="P665">
        <f>IF(AND(E665&gt;=0.8,E665&lt;=1.5),1,IF(AND(E665&gt;=0.5,E665&lt;=2),0.5,0))</f>
        <v>0</v>
      </c>
      <c r="Q665">
        <f>IF(AND(H665&gt;=5000,H665&lt;=6000),1,IF(AND(H665&gt;=4000,H665&lt;5000),0.5,0))</f>
        <v>0</v>
      </c>
      <c r="R665">
        <f>0.35*AVERAGE(L665:M665:N665)+0.3*O665+0.2*P665+0.15*Q665</f>
        <v>0</v>
      </c>
      <c r="S665" t="str">
        <f>LEFT(K665,1)</f>
        <v>F</v>
      </c>
      <c r="T665">
        <f>IF(S665="G",1,0)</f>
        <v>0</v>
      </c>
      <c r="U665">
        <f>IF(S665="K",1,0)</f>
        <v>0</v>
      </c>
      <c r="V665">
        <f>IF(S665="M",1,0)</f>
        <v>0</v>
      </c>
      <c r="W665">
        <f>IF(S665="F",1,0)</f>
        <v>1</v>
      </c>
    </row>
    <row r="666" spans="1:23" x14ac:dyDescent="0.3">
      <c r="A666" t="s">
        <v>40</v>
      </c>
      <c r="B666">
        <v>2.734</v>
      </c>
      <c r="C666">
        <v>19.100000000000001</v>
      </c>
      <c r="D666">
        <v>8.0240015000000007</v>
      </c>
      <c r="E666">
        <v>5.7799999999999997E-2</v>
      </c>
      <c r="F666">
        <v>435</v>
      </c>
      <c r="G666">
        <f>IF(OR(C666="",B666="",B666=0),"",5.51*(C666/(B666^3)))</f>
        <v>5.1497890018003911</v>
      </c>
      <c r="H666">
        <v>3370</v>
      </c>
      <c r="I666">
        <v>1.9738291423280339E-2</v>
      </c>
      <c r="J666">
        <v>0.34</v>
      </c>
      <c r="L666">
        <f>IF(AND(B666&gt;=0.8,B666&lt;=1.5),1,IF(AND(B666&gt;=0.5,B666&lt;=2),0.5,0))</f>
        <v>0</v>
      </c>
      <c r="M666">
        <f>IF(AND(C666&gt;=0.5,C666&lt;=2),1,IF(AND(C666&gt;=0.1,C666&lt;=5),0.5,0))</f>
        <v>0</v>
      </c>
      <c r="N666">
        <f>IF(AND(G666&gt;=4,G666&lt;=7),1,IF(AND(G666&gt;=3,G666&lt;=8),0.5,0))</f>
        <v>1</v>
      </c>
      <c r="O666">
        <f>IF(AND(F666&gt;=270,F666&lt;=310),1,IF(AND(F666&gt;=250,F666&lt;=330),0.5,0))</f>
        <v>0</v>
      </c>
      <c r="P666">
        <f>IF(AND(E666&gt;=0.8,E666&lt;=1.5),1,IF(AND(E666&gt;=0.5,E666&lt;=2),0.5,0))</f>
        <v>0</v>
      </c>
      <c r="Q666">
        <f>IF(AND(H666&gt;=5000,H666&lt;=6000),1,IF(AND(H666&gt;=4000,H666&lt;5000),0.5,0))</f>
        <v>0</v>
      </c>
      <c r="R666">
        <f>0.35*AVERAGE(L666:M666:N666)+0.3*O666+0.2*P666+0.15*Q666</f>
        <v>0.11666666666666665</v>
      </c>
      <c r="S666" t="str">
        <f>LEFT(K666,1)</f>
        <v/>
      </c>
      <c r="T666">
        <f>IF(S666="G",1,0)</f>
        <v>0</v>
      </c>
      <c r="U666">
        <f>IF(S666="K",1,0)</f>
        <v>0</v>
      </c>
      <c r="V666">
        <f>IF(S666="M",1,0)</f>
        <v>0</v>
      </c>
      <c r="W666">
        <f>IF(S666="F",1,0)</f>
        <v>0</v>
      </c>
    </row>
    <row r="667" spans="1:23" x14ac:dyDescent="0.3">
      <c r="A667" t="s">
        <v>39</v>
      </c>
      <c r="B667">
        <v>1.93</v>
      </c>
      <c r="C667">
        <v>9.67</v>
      </c>
      <c r="D667">
        <v>2.7970364999999999</v>
      </c>
      <c r="E667">
        <v>3.7999999999999999E-2</v>
      </c>
      <c r="G667">
        <f>IF(OR(C667="",B667="",B667=0),"",5.51*(C667/(B667^3)))</f>
        <v>7.4115005625911712</v>
      </c>
      <c r="H667">
        <v>5558</v>
      </c>
      <c r="I667">
        <v>0.70433390342467095</v>
      </c>
      <c r="J667">
        <v>-0.13</v>
      </c>
      <c r="K667" t="s">
        <v>38</v>
      </c>
      <c r="L667">
        <f>IF(AND(B667&gt;=0.8,B667&lt;=1.5),1,IF(AND(B667&gt;=0.5,B667&lt;=2),0.5,0))</f>
        <v>0.5</v>
      </c>
      <c r="M667">
        <f>IF(AND(C667&gt;=0.5,C667&lt;=2),1,IF(AND(C667&gt;=0.1,C667&lt;=5),0.5,0))</f>
        <v>0</v>
      </c>
      <c r="N667">
        <f>IF(AND(G667&gt;=4,G667&lt;=7),1,IF(AND(G667&gt;=3,G667&lt;=8),0.5,0))</f>
        <v>0.5</v>
      </c>
      <c r="O667">
        <f>IF(AND(F667&gt;=270,F667&lt;=310),1,IF(AND(F667&gt;=250,F667&lt;=330),0.5,0))</f>
        <v>0</v>
      </c>
      <c r="P667">
        <f>IF(AND(E667&gt;=0.8,E667&lt;=1.5),1,IF(AND(E667&gt;=0.5,E667&lt;=2),0.5,0))</f>
        <v>0</v>
      </c>
      <c r="Q667">
        <f>IF(AND(H667&gt;=5000,H667&lt;=6000),1,IF(AND(H667&gt;=4000,H667&lt;5000),0.5,0))</f>
        <v>1</v>
      </c>
      <c r="R667">
        <f>0.35*AVERAGE(L667:M667:N667)+0.3*O667+0.2*P667+0.15*Q667</f>
        <v>0.26666666666666666</v>
      </c>
      <c r="S667" t="str">
        <f>LEFT(K667,1)</f>
        <v>G</v>
      </c>
      <c r="T667">
        <f>IF(S667="G",1,0)</f>
        <v>1</v>
      </c>
      <c r="U667">
        <f>IF(S667="K",1,0)</f>
        <v>0</v>
      </c>
      <c r="V667">
        <f>IF(S667="M",1,0)</f>
        <v>0</v>
      </c>
      <c r="W667">
        <f>IF(S667="F",1,0)</f>
        <v>0</v>
      </c>
    </row>
    <row r="668" spans="1:23" x14ac:dyDescent="0.3">
      <c r="A668" t="s">
        <v>37</v>
      </c>
      <c r="B668">
        <v>6.71</v>
      </c>
      <c r="D668">
        <v>83.891099999999994</v>
      </c>
      <c r="E668">
        <v>0.42299999999999999</v>
      </c>
      <c r="F668">
        <v>610</v>
      </c>
      <c r="G668" t="str">
        <f>IF(OR(C668="",B668="",B668=0),"",5.51*(C668/(B668^3)))</f>
        <v/>
      </c>
      <c r="H668">
        <v>5907</v>
      </c>
      <c r="I668">
        <v>4.1111298412390491</v>
      </c>
      <c r="J668">
        <v>0.1</v>
      </c>
      <c r="K668" t="s">
        <v>36</v>
      </c>
      <c r="L668">
        <f>IF(AND(B668&gt;=0.8,B668&lt;=1.5),1,IF(AND(B668&gt;=0.5,B668&lt;=2),0.5,0))</f>
        <v>0</v>
      </c>
      <c r="M668">
        <f>IF(AND(C668&gt;=0.5,C668&lt;=2),1,IF(AND(C668&gt;=0.1,C668&lt;=5),0.5,0))</f>
        <v>0</v>
      </c>
      <c r="N668">
        <f>IF(AND(G668&gt;=4,G668&lt;=7),1,IF(AND(G668&gt;=3,G668&lt;=8),0.5,0))</f>
        <v>0</v>
      </c>
      <c r="O668">
        <f>IF(AND(F668&gt;=270,F668&lt;=310),1,IF(AND(F668&gt;=250,F668&lt;=330),0.5,0))</f>
        <v>0</v>
      </c>
      <c r="P668">
        <f>IF(AND(E668&gt;=0.8,E668&lt;=1.5),1,IF(AND(E668&gt;=0.5,E668&lt;=2),0.5,0))</f>
        <v>0</v>
      </c>
      <c r="Q668">
        <f>IF(AND(H668&gt;=5000,H668&lt;=6000),1,IF(AND(H668&gt;=4000,H668&lt;5000),0.5,0))</f>
        <v>1</v>
      </c>
      <c r="R668">
        <f>0.35*AVERAGE(L668:M668:N668)+0.3*O668+0.2*P668+0.15*Q668</f>
        <v>0.15</v>
      </c>
      <c r="S668" t="str">
        <f>LEFT(K668,1)</f>
        <v>G</v>
      </c>
      <c r="T668">
        <f>IF(S668="G",1,0)</f>
        <v>1</v>
      </c>
      <c r="U668">
        <f>IF(S668="K",1,0)</f>
        <v>0</v>
      </c>
      <c r="V668">
        <f>IF(S668="M",1,0)</f>
        <v>0</v>
      </c>
      <c r="W668">
        <f>IF(S668="F",1,0)</f>
        <v>0</v>
      </c>
    </row>
    <row r="669" spans="1:23" x14ac:dyDescent="0.3">
      <c r="A669" t="s">
        <v>35</v>
      </c>
      <c r="B669">
        <v>2.94</v>
      </c>
      <c r="C669">
        <v>7.6</v>
      </c>
      <c r="D669">
        <v>11.197259000000001</v>
      </c>
      <c r="E669">
        <v>9.0300000000000005E-2</v>
      </c>
      <c r="F669">
        <v>686</v>
      </c>
      <c r="G669">
        <f>IF(OR(C669="",B669="",B669=0),"",5.51*(C669/(B669^3)))</f>
        <v>1.6478709582773368</v>
      </c>
      <c r="H669">
        <v>4869</v>
      </c>
      <c r="I669">
        <v>0.29897191862541722</v>
      </c>
      <c r="J669">
        <v>-0.09</v>
      </c>
      <c r="K669" t="s">
        <v>33</v>
      </c>
      <c r="L669">
        <f>IF(AND(B669&gt;=0.8,B669&lt;=1.5),1,IF(AND(B669&gt;=0.5,B669&lt;=2),0.5,0))</f>
        <v>0</v>
      </c>
      <c r="M669">
        <f>IF(AND(C669&gt;=0.5,C669&lt;=2),1,IF(AND(C669&gt;=0.1,C669&lt;=5),0.5,0))</f>
        <v>0</v>
      </c>
      <c r="N669">
        <f>IF(AND(G669&gt;=4,G669&lt;=7),1,IF(AND(G669&gt;=3,G669&lt;=8),0.5,0))</f>
        <v>0</v>
      </c>
      <c r="O669">
        <f>IF(AND(F669&gt;=270,F669&lt;=310),1,IF(AND(F669&gt;=250,F669&lt;=330),0.5,0))</f>
        <v>0</v>
      </c>
      <c r="P669">
        <f>IF(AND(E669&gt;=0.8,E669&lt;=1.5),1,IF(AND(E669&gt;=0.5,E669&lt;=2),0.5,0))</f>
        <v>0</v>
      </c>
      <c r="Q669">
        <f>IF(AND(H669&gt;=5000,H669&lt;=6000),1,IF(AND(H669&gt;=4000,H669&lt;5000),0.5,0))</f>
        <v>0.5</v>
      </c>
      <c r="R669">
        <f>0.35*AVERAGE(L669:M669:N669)+0.3*O669+0.2*P669+0.15*Q669</f>
        <v>7.4999999999999997E-2</v>
      </c>
      <c r="S669" t="str">
        <f>LEFT(K669,1)</f>
        <v>K</v>
      </c>
      <c r="T669">
        <f>IF(S669="G",1,0)</f>
        <v>0</v>
      </c>
      <c r="U669">
        <f>IF(S669="K",1,0)</f>
        <v>1</v>
      </c>
      <c r="V669">
        <f>IF(S669="M",1,0)</f>
        <v>0</v>
      </c>
      <c r="W669">
        <f>IF(S669="F",1,0)</f>
        <v>0</v>
      </c>
    </row>
    <row r="670" spans="1:23" x14ac:dyDescent="0.3">
      <c r="A670" t="s">
        <v>34</v>
      </c>
      <c r="B670">
        <v>2.62</v>
      </c>
      <c r="C670">
        <v>23.5</v>
      </c>
      <c r="D670">
        <v>34.976145000000002</v>
      </c>
      <c r="E670">
        <v>0.193</v>
      </c>
      <c r="F670">
        <v>469</v>
      </c>
      <c r="G670">
        <f>IF(OR(C670="",B670="",B670=0),"",5.51*(C670/(B670^3)))</f>
        <v>7.1997196732694517</v>
      </c>
      <c r="H670">
        <v>4869</v>
      </c>
      <c r="I670">
        <v>0.29897191862541722</v>
      </c>
      <c r="J670">
        <v>-0.09</v>
      </c>
      <c r="K670" t="s">
        <v>33</v>
      </c>
      <c r="L670">
        <f>IF(AND(B670&gt;=0.8,B670&lt;=1.5),1,IF(AND(B670&gt;=0.5,B670&lt;=2),0.5,0))</f>
        <v>0</v>
      </c>
      <c r="M670">
        <f>IF(AND(C670&gt;=0.5,C670&lt;=2),1,IF(AND(C670&gt;=0.1,C670&lt;=5),0.5,0))</f>
        <v>0</v>
      </c>
      <c r="N670">
        <f>IF(AND(G670&gt;=4,G670&lt;=7),1,IF(AND(G670&gt;=3,G670&lt;=8),0.5,0))</f>
        <v>0.5</v>
      </c>
      <c r="O670">
        <f>IF(AND(F670&gt;=270,F670&lt;=310),1,IF(AND(F670&gt;=250,F670&lt;=330),0.5,0))</f>
        <v>0</v>
      </c>
      <c r="P670">
        <f>IF(AND(E670&gt;=0.8,E670&lt;=1.5),1,IF(AND(E670&gt;=0.5,E670&lt;=2),0.5,0))</f>
        <v>0</v>
      </c>
      <c r="Q670">
        <f>IF(AND(H670&gt;=5000,H670&lt;=6000),1,IF(AND(H670&gt;=4000,H670&lt;5000),0.5,0))</f>
        <v>0.5</v>
      </c>
      <c r="R670">
        <f>0.35*AVERAGE(L670:M670:N670)+0.3*O670+0.2*P670+0.15*Q670</f>
        <v>0.13333333333333333</v>
      </c>
      <c r="S670" t="str">
        <f>LEFT(K670,1)</f>
        <v>K</v>
      </c>
      <c r="T670">
        <f>IF(S670="G",1,0)</f>
        <v>0</v>
      </c>
      <c r="U670">
        <f>IF(S670="K",1,0)</f>
        <v>1</v>
      </c>
      <c r="V670">
        <f>IF(S670="M",1,0)</f>
        <v>0</v>
      </c>
      <c r="W670">
        <f>IF(S670="F",1,0)</f>
        <v>0</v>
      </c>
    </row>
    <row r="671" spans="1:23" x14ac:dyDescent="0.3">
      <c r="A671" t="s">
        <v>32</v>
      </c>
      <c r="B671">
        <v>2.9260000000000002</v>
      </c>
      <c r="C671">
        <v>18.466999999999999</v>
      </c>
      <c r="D671">
        <v>1.392978</v>
      </c>
      <c r="E671">
        <v>2.1770000000000001E-2</v>
      </c>
      <c r="F671">
        <v>1253</v>
      </c>
      <c r="G671">
        <f>IF(OR(C671="",B671="",B671=0),"",5.51*(C671/(B671^3)))</f>
        <v>4.061860300784522</v>
      </c>
      <c r="H671">
        <v>4600</v>
      </c>
      <c r="I671">
        <v>0.19403978550334569</v>
      </c>
      <c r="J671">
        <v>-9.1999999999999998E-2</v>
      </c>
      <c r="K671" t="s">
        <v>4</v>
      </c>
      <c r="L671">
        <f>IF(AND(B671&gt;=0.8,B671&lt;=1.5),1,IF(AND(B671&gt;=0.5,B671&lt;=2),0.5,0))</f>
        <v>0</v>
      </c>
      <c r="M671">
        <f>IF(AND(C671&gt;=0.5,C671&lt;=2),1,IF(AND(C671&gt;=0.1,C671&lt;=5),0.5,0))</f>
        <v>0</v>
      </c>
      <c r="N671">
        <f>IF(AND(G671&gt;=4,G671&lt;=7),1,IF(AND(G671&gt;=3,G671&lt;=8),0.5,0))</f>
        <v>1</v>
      </c>
      <c r="O671">
        <f>IF(AND(F671&gt;=270,F671&lt;=310),1,IF(AND(F671&gt;=250,F671&lt;=330),0.5,0))</f>
        <v>0</v>
      </c>
      <c r="P671">
        <f>IF(AND(E671&gt;=0.8,E671&lt;=1.5),1,IF(AND(E671&gt;=0.5,E671&lt;=2),0.5,0))</f>
        <v>0</v>
      </c>
      <c r="Q671">
        <f>IF(AND(H671&gt;=5000,H671&lt;=6000),1,IF(AND(H671&gt;=4000,H671&lt;5000),0.5,0))</f>
        <v>0.5</v>
      </c>
      <c r="R671">
        <f>0.35*AVERAGE(L671:M671:N671)+0.3*O671+0.2*P671+0.15*Q671</f>
        <v>0.19166666666666665</v>
      </c>
      <c r="S671" t="str">
        <f>LEFT(K671,1)</f>
        <v>K</v>
      </c>
      <c r="T671">
        <f>IF(S671="G",1,0)</f>
        <v>0</v>
      </c>
      <c r="U671">
        <f>IF(S671="K",1,0)</f>
        <v>1</v>
      </c>
      <c r="V671">
        <f>IF(S671="M",1,0)</f>
        <v>0</v>
      </c>
      <c r="W671">
        <f>IF(S671="F",1,0)</f>
        <v>0</v>
      </c>
    </row>
    <row r="672" spans="1:23" x14ac:dyDescent="0.3">
      <c r="A672" t="s">
        <v>31</v>
      </c>
      <c r="B672">
        <v>1.27</v>
      </c>
      <c r="D672">
        <v>1.0418776999999999</v>
      </c>
      <c r="E672">
        <v>1.7100000000000001E-2</v>
      </c>
      <c r="F672">
        <v>1118</v>
      </c>
      <c r="G672" t="str">
        <f>IF(OR(C672="",B672="",B672=0),"",5.51*(C672/(B672^3)))</f>
        <v/>
      </c>
      <c r="H672">
        <v>3920</v>
      </c>
      <c r="I672">
        <v>7.6266992146490978E-2</v>
      </c>
      <c r="L672">
        <f>IF(AND(B672&gt;=0.8,B672&lt;=1.5),1,IF(AND(B672&gt;=0.5,B672&lt;=2),0.5,0))</f>
        <v>1</v>
      </c>
      <c r="M672">
        <f>IF(AND(C672&gt;=0.5,C672&lt;=2),1,IF(AND(C672&gt;=0.1,C672&lt;=5),0.5,0))</f>
        <v>0</v>
      </c>
      <c r="N672">
        <f>IF(AND(G672&gt;=4,G672&lt;=7),1,IF(AND(G672&gt;=3,G672&lt;=8),0.5,0))</f>
        <v>0</v>
      </c>
      <c r="O672">
        <f>IF(AND(F672&gt;=270,F672&lt;=310),1,IF(AND(F672&gt;=250,F672&lt;=330),0.5,0))</f>
        <v>0</v>
      </c>
      <c r="P672">
        <f>IF(AND(E672&gt;=0.8,E672&lt;=1.5),1,IF(AND(E672&gt;=0.5,E672&lt;=2),0.5,0))</f>
        <v>0</v>
      </c>
      <c r="Q672">
        <f>IF(AND(H672&gt;=5000,H672&lt;=6000),1,IF(AND(H672&gt;=4000,H672&lt;5000),0.5,0))</f>
        <v>0</v>
      </c>
      <c r="R672">
        <f>0.35*AVERAGE(L672:M672:N672)+0.3*O672+0.2*P672+0.15*Q672</f>
        <v>0.11666666666666665</v>
      </c>
      <c r="S672" t="str">
        <f>LEFT(K672,1)</f>
        <v/>
      </c>
      <c r="T672">
        <f>IF(S672="G",1,0)</f>
        <v>0</v>
      </c>
      <c r="U672">
        <f>IF(S672="K",1,0)</f>
        <v>0</v>
      </c>
      <c r="V672">
        <f>IF(S672="M",1,0)</f>
        <v>0</v>
      </c>
      <c r="W672">
        <f>IF(S672="F",1,0)</f>
        <v>0</v>
      </c>
    </row>
    <row r="673" spans="1:23" x14ac:dyDescent="0.3">
      <c r="A673" t="s">
        <v>30</v>
      </c>
      <c r="B673">
        <v>1.704</v>
      </c>
      <c r="C673">
        <v>4.53</v>
      </c>
      <c r="D673">
        <v>3.8167300000000002</v>
      </c>
      <c r="E673">
        <v>4.2200000000000001E-2</v>
      </c>
      <c r="F673">
        <v>871</v>
      </c>
      <c r="G673">
        <f>IF(OR(C673="",B673="",B673=0),"",5.51*(C673/(B673^3)))</f>
        <v>5.0447660366528124</v>
      </c>
      <c r="H673">
        <v>4552</v>
      </c>
      <c r="I673">
        <v>0.17035000636130196</v>
      </c>
      <c r="J673">
        <v>-0.28399999999999997</v>
      </c>
      <c r="K673" t="s">
        <v>7</v>
      </c>
      <c r="L673">
        <f>IF(AND(B673&gt;=0.8,B673&lt;=1.5),1,IF(AND(B673&gt;=0.5,B673&lt;=2),0.5,0))</f>
        <v>0.5</v>
      </c>
      <c r="M673">
        <f>IF(AND(C673&gt;=0.5,C673&lt;=2),1,IF(AND(C673&gt;=0.1,C673&lt;=5),0.5,0))</f>
        <v>0.5</v>
      </c>
      <c r="N673">
        <f>IF(AND(G673&gt;=4,G673&lt;=7),1,IF(AND(G673&gt;=3,G673&lt;=8),0.5,0))</f>
        <v>1</v>
      </c>
      <c r="O673">
        <f>IF(AND(F673&gt;=270,F673&lt;=310),1,IF(AND(F673&gt;=250,F673&lt;=330),0.5,0))</f>
        <v>0</v>
      </c>
      <c r="P673">
        <f>IF(AND(E673&gt;=0.8,E673&lt;=1.5),1,IF(AND(E673&gt;=0.5,E673&lt;=2),0.5,0))</f>
        <v>0</v>
      </c>
      <c r="Q673">
        <f>IF(AND(H673&gt;=5000,H673&lt;=6000),1,IF(AND(H673&gt;=4000,H673&lt;5000),0.5,0))</f>
        <v>0.5</v>
      </c>
      <c r="R673">
        <f>0.35*AVERAGE(L673:M673:N673)+0.3*O673+0.2*P673+0.15*Q673</f>
        <v>0.30833333333333329</v>
      </c>
      <c r="S673" t="str">
        <f>LEFT(K673,1)</f>
        <v>K</v>
      </c>
      <c r="T673">
        <f>IF(S673="G",1,0)</f>
        <v>0</v>
      </c>
      <c r="U673">
        <f>IF(S673="K",1,0)</f>
        <v>1</v>
      </c>
      <c r="V673">
        <f>IF(S673="M",1,0)</f>
        <v>0</v>
      </c>
      <c r="W673">
        <f>IF(S673="F",1,0)</f>
        <v>0</v>
      </c>
    </row>
    <row r="674" spans="1:23" x14ac:dyDescent="0.3">
      <c r="A674" t="s">
        <v>29</v>
      </c>
      <c r="B674">
        <v>2.5870000000000002</v>
      </c>
      <c r="C674">
        <v>9.6</v>
      </c>
      <c r="D674">
        <v>8.5954499999999996</v>
      </c>
      <c r="E674">
        <v>7.4999999999999997E-2</v>
      </c>
      <c r="F674">
        <v>665</v>
      </c>
      <c r="G674">
        <f>IF(OR(C674="",B674="",B674=0),"",5.51*(C674/(B674^3)))</f>
        <v>3.0551570903160319</v>
      </c>
      <c r="H674">
        <v>4552</v>
      </c>
      <c r="I674">
        <v>0.17035000636130196</v>
      </c>
      <c r="J674">
        <v>-0.28399999999999997</v>
      </c>
      <c r="K674" t="s">
        <v>7</v>
      </c>
      <c r="L674">
        <f>IF(AND(B674&gt;=0.8,B674&lt;=1.5),1,IF(AND(B674&gt;=0.5,B674&lt;=2),0.5,0))</f>
        <v>0</v>
      </c>
      <c r="M674">
        <f>IF(AND(C674&gt;=0.5,C674&lt;=2),1,IF(AND(C674&gt;=0.1,C674&lt;=5),0.5,0))</f>
        <v>0</v>
      </c>
      <c r="N674">
        <f>IF(AND(G674&gt;=4,G674&lt;=7),1,IF(AND(G674&gt;=3,G674&lt;=8),0.5,0))</f>
        <v>0.5</v>
      </c>
      <c r="O674">
        <f>IF(AND(F674&gt;=270,F674&lt;=310),1,IF(AND(F674&gt;=250,F674&lt;=330),0.5,0))</f>
        <v>0</v>
      </c>
      <c r="P674">
        <f>IF(AND(E674&gt;=0.8,E674&lt;=1.5),1,IF(AND(E674&gt;=0.5,E674&lt;=2),0.5,0))</f>
        <v>0</v>
      </c>
      <c r="Q674">
        <f>IF(AND(H674&gt;=5000,H674&lt;=6000),1,IF(AND(H674&gt;=4000,H674&lt;5000),0.5,0))</f>
        <v>0.5</v>
      </c>
      <c r="R674">
        <f>0.35*AVERAGE(L674:M674:N674)+0.3*O674+0.2*P674+0.15*Q674</f>
        <v>0.13333333333333333</v>
      </c>
      <c r="S674" t="str">
        <f>LEFT(K674,1)</f>
        <v>K</v>
      </c>
      <c r="T674">
        <f>IF(S674="G",1,0)</f>
        <v>0</v>
      </c>
      <c r="U674">
        <f>IF(S674="K",1,0)</f>
        <v>1</v>
      </c>
      <c r="V674">
        <f>IF(S674="M",1,0)</f>
        <v>0</v>
      </c>
      <c r="W674">
        <f>IF(S674="F",1,0)</f>
        <v>0</v>
      </c>
    </row>
    <row r="675" spans="1:23" x14ac:dyDescent="0.3">
      <c r="A675" t="s">
        <v>28</v>
      </c>
      <c r="B675">
        <v>9.1689462099999997</v>
      </c>
      <c r="C675">
        <v>120.45696624999999</v>
      </c>
      <c r="D675">
        <v>8.3249113000000001</v>
      </c>
      <c r="E675">
        <v>8.8800000000000004E-2</v>
      </c>
      <c r="F675">
        <v>995.3</v>
      </c>
      <c r="G675">
        <f>IF(OR(C675="",B675="",B675=0),"",5.51*(C675/(B675^3)))</f>
        <v>0.86104380248949508</v>
      </c>
      <c r="H675">
        <v>5995</v>
      </c>
      <c r="I675">
        <v>1.2825611463251596</v>
      </c>
      <c r="J675">
        <v>0.01</v>
      </c>
      <c r="K675" t="s">
        <v>27</v>
      </c>
      <c r="L675">
        <f>IF(AND(B675&gt;=0.8,B675&lt;=1.5),1,IF(AND(B675&gt;=0.5,B675&lt;=2),0.5,0))</f>
        <v>0</v>
      </c>
      <c r="M675">
        <f>IF(AND(C675&gt;=0.5,C675&lt;=2),1,IF(AND(C675&gt;=0.1,C675&lt;=5),0.5,0))</f>
        <v>0</v>
      </c>
      <c r="N675">
        <f>IF(AND(G675&gt;=4,G675&lt;=7),1,IF(AND(G675&gt;=3,G675&lt;=8),0.5,0))</f>
        <v>0</v>
      </c>
      <c r="O675">
        <f>IF(AND(F675&gt;=270,F675&lt;=310),1,IF(AND(F675&gt;=250,F675&lt;=330),0.5,0))</f>
        <v>0</v>
      </c>
      <c r="P675">
        <f>IF(AND(E675&gt;=0.8,E675&lt;=1.5),1,IF(AND(E675&gt;=0.5,E675&lt;=2),0.5,0))</f>
        <v>0</v>
      </c>
      <c r="Q675">
        <f>IF(AND(H675&gt;=5000,H675&lt;=6000),1,IF(AND(H675&gt;=4000,H675&lt;5000),0.5,0))</f>
        <v>1</v>
      </c>
      <c r="R675">
        <f>0.35*AVERAGE(L675:M675:N675)+0.3*O675+0.2*P675+0.15*Q675</f>
        <v>0.15</v>
      </c>
      <c r="S675" t="str">
        <f>LEFT(K675,1)</f>
        <v>F</v>
      </c>
      <c r="T675">
        <f>IF(S675="G",1,0)</f>
        <v>0</v>
      </c>
      <c r="U675">
        <f>IF(S675="K",1,0)</f>
        <v>0</v>
      </c>
      <c r="V675">
        <f>IF(S675="M",1,0)</f>
        <v>0</v>
      </c>
      <c r="W675">
        <f>IF(S675="F",1,0)</f>
        <v>1</v>
      </c>
    </row>
    <row r="676" spans="1:23" x14ac:dyDescent="0.3">
      <c r="A676" t="s">
        <v>26</v>
      </c>
      <c r="B676">
        <v>3.64</v>
      </c>
      <c r="C676">
        <v>41.8</v>
      </c>
      <c r="D676">
        <v>0.76554800000000001</v>
      </c>
      <c r="E676">
        <v>1.55E-2</v>
      </c>
      <c r="G676">
        <f>IF(OR(C676="",B676="",B676=0),"",5.51*(C676/(B676^3)))</f>
        <v>4.775553663821988</v>
      </c>
      <c r="H676">
        <v>5257</v>
      </c>
      <c r="I676">
        <v>0.64474090807319584</v>
      </c>
      <c r="L676">
        <f>IF(AND(B676&gt;=0.8,B676&lt;=1.5),1,IF(AND(B676&gt;=0.5,B676&lt;=2),0.5,0))</f>
        <v>0</v>
      </c>
      <c r="M676">
        <f>IF(AND(C676&gt;=0.5,C676&lt;=2),1,IF(AND(C676&gt;=0.1,C676&lt;=5),0.5,0))</f>
        <v>0</v>
      </c>
      <c r="N676">
        <f>IF(AND(G676&gt;=4,G676&lt;=7),1,IF(AND(G676&gt;=3,G676&lt;=8),0.5,0))</f>
        <v>1</v>
      </c>
      <c r="O676">
        <f>IF(AND(F676&gt;=270,F676&lt;=310),1,IF(AND(F676&gt;=250,F676&lt;=330),0.5,0))</f>
        <v>0</v>
      </c>
      <c r="P676">
        <f>IF(AND(E676&gt;=0.8,E676&lt;=1.5),1,IF(AND(E676&gt;=0.5,E676&lt;=2),0.5,0))</f>
        <v>0</v>
      </c>
      <c r="Q676">
        <f>IF(AND(H676&gt;=5000,H676&lt;=6000),1,IF(AND(H676&gt;=4000,H676&lt;5000),0.5,0))</f>
        <v>1</v>
      </c>
      <c r="R676">
        <f>0.35*AVERAGE(L676:M676:N676)+0.3*O676+0.2*P676+0.15*Q676</f>
        <v>0.26666666666666666</v>
      </c>
      <c r="S676" t="str">
        <f>LEFT(K676,1)</f>
        <v/>
      </c>
      <c r="T676">
        <f>IF(S676="G",1,0)</f>
        <v>0</v>
      </c>
      <c r="U676">
        <f>IF(S676="K",1,0)</f>
        <v>0</v>
      </c>
      <c r="V676">
        <f>IF(S676="M",1,0)</f>
        <v>0</v>
      </c>
      <c r="W676">
        <f>IF(S676="F",1,0)</f>
        <v>0</v>
      </c>
    </row>
    <row r="677" spans="1:23" x14ac:dyDescent="0.3">
      <c r="A677" t="s">
        <v>25</v>
      </c>
      <c r="B677">
        <v>14.067270779999999</v>
      </c>
      <c r="C677">
        <v>349.61124769999998</v>
      </c>
      <c r="D677">
        <v>3.2797177999999998</v>
      </c>
      <c r="E677">
        <v>4.4350000000000001E-2</v>
      </c>
      <c r="F677">
        <v>1529</v>
      </c>
      <c r="G677">
        <f>IF(OR(C677="",B677="",B677=0),"",5.51*(C677/(B677^3)))</f>
        <v>0.69200216537968828</v>
      </c>
      <c r="H677">
        <v>5842</v>
      </c>
      <c r="I677">
        <v>1.7879342689726712</v>
      </c>
      <c r="J677">
        <v>0.153</v>
      </c>
      <c r="K677" t="s">
        <v>24</v>
      </c>
      <c r="L677">
        <f>IF(AND(B677&gt;=0.8,B677&lt;=1.5),1,IF(AND(B677&gt;=0.5,B677&lt;=2),0.5,0))</f>
        <v>0</v>
      </c>
      <c r="M677">
        <f>IF(AND(C677&gt;=0.5,C677&lt;=2),1,IF(AND(C677&gt;=0.1,C677&lt;=5),0.5,0))</f>
        <v>0</v>
      </c>
      <c r="N677">
        <f>IF(AND(G677&gt;=4,G677&lt;=7),1,IF(AND(G677&gt;=3,G677&lt;=8),0.5,0))</f>
        <v>0</v>
      </c>
      <c r="O677">
        <f>IF(AND(F677&gt;=270,F677&lt;=310),1,IF(AND(F677&gt;=250,F677&lt;=330),0.5,0))</f>
        <v>0</v>
      </c>
      <c r="P677">
        <f>IF(AND(E677&gt;=0.8,E677&lt;=1.5),1,IF(AND(E677&gt;=0.5,E677&lt;=2),0.5,0))</f>
        <v>0</v>
      </c>
      <c r="Q677">
        <f>IF(AND(H677&gt;=5000,H677&lt;=6000),1,IF(AND(H677&gt;=4000,H677&lt;5000),0.5,0))</f>
        <v>1</v>
      </c>
      <c r="R677">
        <f>0.35*AVERAGE(L677:M677:N677)+0.3*O677+0.2*P677+0.15*Q677</f>
        <v>0.15</v>
      </c>
      <c r="S677" t="str">
        <f>LEFT(K677,1)</f>
        <v>G</v>
      </c>
      <c r="T677">
        <f>IF(S677="G",1,0)</f>
        <v>1</v>
      </c>
      <c r="U677">
        <f>IF(S677="K",1,0)</f>
        <v>0</v>
      </c>
      <c r="V677">
        <f>IF(S677="M",1,0)</f>
        <v>0</v>
      </c>
      <c r="W677">
        <f>IF(S677="F",1,0)</f>
        <v>0</v>
      </c>
    </row>
    <row r="678" spans="1:23" x14ac:dyDescent="0.3">
      <c r="A678" t="s">
        <v>23</v>
      </c>
      <c r="B678">
        <v>1.6639999999999999</v>
      </c>
      <c r="D678">
        <v>14.362565</v>
      </c>
      <c r="E678">
        <v>0.10539999999999999</v>
      </c>
      <c r="F678">
        <v>621</v>
      </c>
      <c r="G678" t="str">
        <f>IF(OR(C678="",B678="",B678=0),"",5.51*(C678/(B678^3)))</f>
        <v/>
      </c>
      <c r="H678">
        <v>4929</v>
      </c>
      <c r="I678">
        <v>0.27376813874101413</v>
      </c>
      <c r="J678">
        <v>-7.0000000000000007E-2</v>
      </c>
      <c r="L678">
        <f>IF(AND(B678&gt;=0.8,B678&lt;=1.5),1,IF(AND(B678&gt;=0.5,B678&lt;=2),0.5,0))</f>
        <v>0.5</v>
      </c>
      <c r="M678">
        <f>IF(AND(C678&gt;=0.5,C678&lt;=2),1,IF(AND(C678&gt;=0.1,C678&lt;=5),0.5,0))</f>
        <v>0</v>
      </c>
      <c r="N678">
        <f>IF(AND(G678&gt;=4,G678&lt;=7),1,IF(AND(G678&gt;=3,G678&lt;=8),0.5,0))</f>
        <v>0</v>
      </c>
      <c r="O678">
        <f>IF(AND(F678&gt;=270,F678&lt;=310),1,IF(AND(F678&gt;=250,F678&lt;=330),0.5,0))</f>
        <v>0</v>
      </c>
      <c r="P678">
        <f>IF(AND(E678&gt;=0.8,E678&lt;=1.5),1,IF(AND(E678&gt;=0.5,E678&lt;=2),0.5,0))</f>
        <v>0</v>
      </c>
      <c r="Q678">
        <f>IF(AND(H678&gt;=5000,H678&lt;=6000),1,IF(AND(H678&gt;=4000,H678&lt;5000),0.5,0))</f>
        <v>0.5</v>
      </c>
      <c r="R678">
        <f>0.35*AVERAGE(L678:M678:N678)+0.3*O678+0.2*P678+0.15*Q678</f>
        <v>0.13333333333333333</v>
      </c>
      <c r="S678" t="str">
        <f>LEFT(K678,1)</f>
        <v/>
      </c>
      <c r="T678">
        <f>IF(S678="G",1,0)</f>
        <v>0</v>
      </c>
      <c r="U678">
        <f>IF(S678="K",1,0)</f>
        <v>0</v>
      </c>
      <c r="V678">
        <f>IF(S678="M",1,0)</f>
        <v>0</v>
      </c>
      <c r="W678">
        <f>IF(S678="F",1,0)</f>
        <v>0</v>
      </c>
    </row>
    <row r="679" spans="1:23" x14ac:dyDescent="0.3">
      <c r="A679" t="s">
        <v>22</v>
      </c>
      <c r="B679">
        <v>4.95</v>
      </c>
      <c r="D679">
        <v>6.3872703</v>
      </c>
      <c r="E679">
        <v>6.3500000000000001E-2</v>
      </c>
      <c r="F679">
        <v>805</v>
      </c>
      <c r="G679" t="str">
        <f>IF(OR(C679="",B679="",B679=0),"",5.51*(C679/(B679^3)))</f>
        <v/>
      </c>
      <c r="H679">
        <v>5050</v>
      </c>
      <c r="I679">
        <v>0.40198657300335666</v>
      </c>
      <c r="J679">
        <v>0.23</v>
      </c>
      <c r="K679" t="s">
        <v>20</v>
      </c>
      <c r="L679">
        <f>IF(AND(B679&gt;=0.8,B679&lt;=1.5),1,IF(AND(B679&gt;=0.5,B679&lt;=2),0.5,0))</f>
        <v>0</v>
      </c>
      <c r="M679">
        <f>IF(AND(C679&gt;=0.5,C679&lt;=2),1,IF(AND(C679&gt;=0.1,C679&lt;=5),0.5,0))</f>
        <v>0</v>
      </c>
      <c r="N679">
        <f>IF(AND(G679&gt;=4,G679&lt;=7),1,IF(AND(G679&gt;=3,G679&lt;=8),0.5,0))</f>
        <v>0</v>
      </c>
      <c r="O679">
        <f>IF(AND(F679&gt;=270,F679&lt;=310),1,IF(AND(F679&gt;=250,F679&lt;=330),0.5,0))</f>
        <v>0</v>
      </c>
      <c r="P679">
        <f>IF(AND(E679&gt;=0.8,E679&lt;=1.5),1,IF(AND(E679&gt;=0.5,E679&lt;=2),0.5,0))</f>
        <v>0</v>
      </c>
      <c r="Q679">
        <f>IF(AND(H679&gt;=5000,H679&lt;=6000),1,IF(AND(H679&gt;=4000,H679&lt;5000),0.5,0))</f>
        <v>1</v>
      </c>
      <c r="R679">
        <f>0.35*AVERAGE(L679:M679:N679)+0.3*O679+0.2*P679+0.15*Q679</f>
        <v>0.15</v>
      </c>
      <c r="S679" t="str">
        <f>LEFT(K679,1)</f>
        <v>K</v>
      </c>
      <c r="T679">
        <f>IF(S679="G",1,0)</f>
        <v>0</v>
      </c>
      <c r="U679">
        <f>IF(S679="K",1,0)</f>
        <v>1</v>
      </c>
      <c r="V679">
        <f>IF(S679="M",1,0)</f>
        <v>0</v>
      </c>
      <c r="W679">
        <f>IF(S679="F",1,0)</f>
        <v>0</v>
      </c>
    </row>
    <row r="680" spans="1:23" x14ac:dyDescent="0.3">
      <c r="A680" t="s">
        <v>21</v>
      </c>
      <c r="B680">
        <v>2.19</v>
      </c>
      <c r="D680">
        <v>2.5757099999999999</v>
      </c>
      <c r="E680">
        <v>3.49E-2</v>
      </c>
      <c r="F680">
        <v>1085</v>
      </c>
      <c r="G680" t="str">
        <f>IF(OR(C680="",B680="",B680=0),"",5.51*(C680/(B680^3)))</f>
        <v/>
      </c>
      <c r="H680">
        <v>5050</v>
      </c>
      <c r="I680">
        <v>0.40198657300335666</v>
      </c>
      <c r="J680">
        <v>0.23</v>
      </c>
      <c r="K680" t="s">
        <v>20</v>
      </c>
      <c r="L680">
        <f>IF(AND(B680&gt;=0.8,B680&lt;=1.5),1,IF(AND(B680&gt;=0.5,B680&lt;=2),0.5,0))</f>
        <v>0</v>
      </c>
      <c r="M680">
        <f>IF(AND(C680&gt;=0.5,C680&lt;=2),1,IF(AND(C680&gt;=0.1,C680&lt;=5),0.5,0))</f>
        <v>0</v>
      </c>
      <c r="N680">
        <f>IF(AND(G680&gt;=4,G680&lt;=7),1,IF(AND(G680&gt;=3,G680&lt;=8),0.5,0))</f>
        <v>0</v>
      </c>
      <c r="O680">
        <f>IF(AND(F680&gt;=270,F680&lt;=310),1,IF(AND(F680&gt;=250,F680&lt;=330),0.5,0))</f>
        <v>0</v>
      </c>
      <c r="P680">
        <f>IF(AND(E680&gt;=0.8,E680&lt;=1.5),1,IF(AND(E680&gt;=0.5,E680&lt;=2),0.5,0))</f>
        <v>0</v>
      </c>
      <c r="Q680">
        <f>IF(AND(H680&gt;=5000,H680&lt;=6000),1,IF(AND(H680&gt;=4000,H680&lt;5000),0.5,0))</f>
        <v>1</v>
      </c>
      <c r="R680">
        <f>0.35*AVERAGE(L680:M680:N680)+0.3*O680+0.2*P680+0.15*Q680</f>
        <v>0.15</v>
      </c>
      <c r="S680" t="str">
        <f>LEFT(K680,1)</f>
        <v>K</v>
      </c>
      <c r="T680">
        <f>IF(S680="G",1,0)</f>
        <v>0</v>
      </c>
      <c r="U680">
        <f>IF(S680="K",1,0)</f>
        <v>1</v>
      </c>
      <c r="V680">
        <f>IF(S680="M",1,0)</f>
        <v>0</v>
      </c>
      <c r="W680">
        <f>IF(S680="F",1,0)</f>
        <v>0</v>
      </c>
    </row>
    <row r="681" spans="1:23" x14ac:dyDescent="0.3">
      <c r="A681" t="s">
        <v>19</v>
      </c>
      <c r="B681">
        <v>11.99363</v>
      </c>
      <c r="C681">
        <v>301.93849999999998</v>
      </c>
      <c r="D681">
        <v>10.62656</v>
      </c>
      <c r="E681">
        <v>9.1999999999999998E-2</v>
      </c>
      <c r="F681">
        <v>1397</v>
      </c>
      <c r="G681">
        <f>IF(OR(C681="",B681="",B681=0),"",5.51*(C681/(B681^3)))</f>
        <v>0.96431328847837805</v>
      </c>
      <c r="H681">
        <v>6261</v>
      </c>
      <c r="I681">
        <v>2.6637549245618328</v>
      </c>
      <c r="J681">
        <v>0.24</v>
      </c>
      <c r="K681" t="s">
        <v>18</v>
      </c>
      <c r="L681">
        <f>IF(AND(B681&gt;=0.8,B681&lt;=1.5),1,IF(AND(B681&gt;=0.5,B681&lt;=2),0.5,0))</f>
        <v>0</v>
      </c>
      <c r="M681">
        <f>IF(AND(C681&gt;=0.5,C681&lt;=2),1,IF(AND(C681&gt;=0.1,C681&lt;=5),0.5,0))</f>
        <v>0</v>
      </c>
      <c r="N681">
        <f>IF(AND(G681&gt;=4,G681&lt;=7),1,IF(AND(G681&gt;=3,G681&lt;=8),0.5,0))</f>
        <v>0</v>
      </c>
      <c r="O681">
        <f>IF(AND(F681&gt;=270,F681&lt;=310),1,IF(AND(F681&gt;=250,F681&lt;=330),0.5,0))</f>
        <v>0</v>
      </c>
      <c r="P681">
        <f>IF(AND(E681&gt;=0.8,E681&lt;=1.5),1,IF(AND(E681&gt;=0.5,E681&lt;=2),0.5,0))</f>
        <v>0</v>
      </c>
      <c r="Q681">
        <f>IF(AND(H681&gt;=5000,H681&lt;=6000),1,IF(AND(H681&gt;=4000,H681&lt;5000),0.5,0))</f>
        <v>0</v>
      </c>
      <c r="R681">
        <f>0.35*AVERAGE(L681:M681:N681)+0.3*O681+0.2*P681+0.15*Q681</f>
        <v>0</v>
      </c>
      <c r="S681" t="str">
        <f>LEFT(K681,1)</f>
        <v>F</v>
      </c>
      <c r="T681">
        <f>IF(S681="G",1,0)</f>
        <v>0</v>
      </c>
      <c r="U681">
        <f>IF(S681="K",1,0)</f>
        <v>0</v>
      </c>
      <c r="V681">
        <f>IF(S681="M",1,0)</f>
        <v>0</v>
      </c>
      <c r="W681">
        <f>IF(S681="F",1,0)</f>
        <v>1</v>
      </c>
    </row>
    <row r="682" spans="1:23" x14ac:dyDescent="0.3">
      <c r="A682" t="s">
        <v>17</v>
      </c>
      <c r="B682">
        <v>2.4260000000000002</v>
      </c>
      <c r="D682">
        <v>10.8772</v>
      </c>
      <c r="E682">
        <v>5.6000000000000001E-2</v>
      </c>
      <c r="F682">
        <v>429.43</v>
      </c>
      <c r="G682" t="str">
        <f>IF(OR(C682="",B682="",B682=0),"",5.51*(C682/(B682^3)))</f>
        <v/>
      </c>
      <c r="H682">
        <v>3770.2</v>
      </c>
      <c r="I682">
        <v>5.0346424902454709E-2</v>
      </c>
      <c r="J682">
        <v>2.1999999999999999E-2</v>
      </c>
      <c r="L682">
        <f>IF(AND(B682&gt;=0.8,B682&lt;=1.5),1,IF(AND(B682&gt;=0.5,B682&lt;=2),0.5,0))</f>
        <v>0</v>
      </c>
      <c r="M682">
        <f>IF(AND(C682&gt;=0.5,C682&lt;=2),1,IF(AND(C682&gt;=0.1,C682&lt;=5),0.5,0))</f>
        <v>0</v>
      </c>
      <c r="N682">
        <f>IF(AND(G682&gt;=4,G682&lt;=7),1,IF(AND(G682&gt;=3,G682&lt;=8),0.5,0))</f>
        <v>0</v>
      </c>
      <c r="O682">
        <f>IF(AND(F682&gt;=270,F682&lt;=310),1,IF(AND(F682&gt;=250,F682&lt;=330),0.5,0))</f>
        <v>0</v>
      </c>
      <c r="P682">
        <f>IF(AND(E682&gt;=0.8,E682&lt;=1.5),1,IF(AND(E682&gt;=0.5,E682&lt;=2),0.5,0))</f>
        <v>0</v>
      </c>
      <c r="Q682">
        <f>IF(AND(H682&gt;=5000,H682&lt;=6000),1,IF(AND(H682&gt;=4000,H682&lt;5000),0.5,0))</f>
        <v>0</v>
      </c>
      <c r="R682">
        <f>0.35*AVERAGE(L682:M682:N682)+0.3*O682+0.2*P682+0.15*Q682</f>
        <v>0</v>
      </c>
      <c r="S682" t="str">
        <f>LEFT(K682,1)</f>
        <v/>
      </c>
      <c r="T682">
        <f>IF(S682="G",1,0)</f>
        <v>0</v>
      </c>
      <c r="U682">
        <f>IF(S682="K",1,0)</f>
        <v>0</v>
      </c>
      <c r="V682">
        <f>IF(S682="M",1,0)</f>
        <v>0</v>
      </c>
      <c r="W682">
        <f>IF(S682="F",1,0)</f>
        <v>0</v>
      </c>
    </row>
    <row r="683" spans="1:23" x14ac:dyDescent="0.3">
      <c r="A683" t="s">
        <v>16</v>
      </c>
      <c r="B683">
        <v>2.1669999999999998</v>
      </c>
      <c r="D683">
        <v>83.999700000000004</v>
      </c>
      <c r="E683">
        <v>0.312</v>
      </c>
      <c r="F683">
        <v>217.26</v>
      </c>
      <c r="G683" t="str">
        <f>IF(OR(C683="",B683="",B683=0),"",5.51*(C683/(B683^3)))</f>
        <v/>
      </c>
      <c r="H683">
        <v>3770.2</v>
      </c>
      <c r="I683">
        <v>5.0346424902454709E-2</v>
      </c>
      <c r="J683">
        <v>2.1999999999999999E-2</v>
      </c>
      <c r="L683">
        <f>IF(AND(B683&gt;=0.8,B683&lt;=1.5),1,IF(AND(B683&gt;=0.5,B683&lt;=2),0.5,0))</f>
        <v>0</v>
      </c>
      <c r="M683">
        <f>IF(AND(C683&gt;=0.5,C683&lt;=2),1,IF(AND(C683&gt;=0.1,C683&lt;=5),0.5,0))</f>
        <v>0</v>
      </c>
      <c r="N683">
        <f>IF(AND(G683&gt;=4,G683&lt;=7),1,IF(AND(G683&gt;=3,G683&lt;=8),0.5,0))</f>
        <v>0</v>
      </c>
      <c r="O683">
        <f>IF(AND(F683&gt;=270,F683&lt;=310),1,IF(AND(F683&gt;=250,F683&lt;=330),0.5,0))</f>
        <v>0</v>
      </c>
      <c r="P683">
        <f>IF(AND(E683&gt;=0.8,E683&lt;=1.5),1,IF(AND(E683&gt;=0.5,E683&lt;=2),0.5,0))</f>
        <v>0</v>
      </c>
      <c r="Q683">
        <f>IF(AND(H683&gt;=5000,H683&lt;=6000),1,IF(AND(H683&gt;=4000,H683&lt;5000),0.5,0))</f>
        <v>0</v>
      </c>
      <c r="R683">
        <f>0.35*AVERAGE(L683:M683:N683)+0.3*O683+0.2*P683+0.15*Q683</f>
        <v>0</v>
      </c>
      <c r="S683" t="str">
        <f>LEFT(K683,1)</f>
        <v/>
      </c>
      <c r="T683">
        <f>IF(S683="G",1,0)</f>
        <v>0</v>
      </c>
      <c r="U683">
        <f>IF(S683="K",1,0)</f>
        <v>0</v>
      </c>
      <c r="V683">
        <f>IF(S683="M",1,0)</f>
        <v>0</v>
      </c>
      <c r="W683">
        <f>IF(S683="F",1,0)</f>
        <v>0</v>
      </c>
    </row>
    <row r="684" spans="1:23" x14ac:dyDescent="0.3">
      <c r="A684" t="s">
        <v>15</v>
      </c>
      <c r="B684">
        <v>13.125738999999999</v>
      </c>
      <c r="C684">
        <v>211.99261000000001</v>
      </c>
      <c r="D684">
        <v>3.7394940000000001</v>
      </c>
      <c r="E684">
        <v>4.666E-2</v>
      </c>
      <c r="F684">
        <v>1192</v>
      </c>
      <c r="G684">
        <f>IF(OR(C684="",B684="",B684=0),"",5.51*(C684/(B684^3)))</f>
        <v>0.516536514843701</v>
      </c>
      <c r="H684">
        <v>5570</v>
      </c>
      <c r="I684">
        <v>0.72777308984606226</v>
      </c>
      <c r="J684">
        <v>0.14000000000000001</v>
      </c>
      <c r="L684">
        <f>IF(AND(B684&gt;=0.8,B684&lt;=1.5),1,IF(AND(B684&gt;=0.5,B684&lt;=2),0.5,0))</f>
        <v>0</v>
      </c>
      <c r="M684">
        <f>IF(AND(C684&gt;=0.5,C684&lt;=2),1,IF(AND(C684&gt;=0.1,C684&lt;=5),0.5,0))</f>
        <v>0</v>
      </c>
      <c r="N684">
        <f>IF(AND(G684&gt;=4,G684&lt;=7),1,IF(AND(G684&gt;=3,G684&lt;=8),0.5,0))</f>
        <v>0</v>
      </c>
      <c r="O684">
        <f>IF(AND(F684&gt;=270,F684&lt;=310),1,IF(AND(F684&gt;=250,F684&lt;=330),0.5,0))</f>
        <v>0</v>
      </c>
      <c r="P684">
        <f>IF(AND(E684&gt;=0.8,E684&lt;=1.5),1,IF(AND(E684&gt;=0.5,E684&lt;=2),0.5,0))</f>
        <v>0</v>
      </c>
      <c r="Q684">
        <f>IF(AND(H684&gt;=5000,H684&lt;=6000),1,IF(AND(H684&gt;=4000,H684&lt;5000),0.5,0))</f>
        <v>1</v>
      </c>
      <c r="R684">
        <f>0.35*AVERAGE(L684:M684:N684)+0.3*O684+0.2*P684+0.15*Q684</f>
        <v>0.15</v>
      </c>
      <c r="S684" t="str">
        <f>LEFT(K684,1)</f>
        <v/>
      </c>
      <c r="T684">
        <f>IF(S684="G",1,0)</f>
        <v>0</v>
      </c>
      <c r="U684">
        <f>IF(S684="K",1,0)</f>
        <v>0</v>
      </c>
      <c r="V684">
        <f>IF(S684="M",1,0)</f>
        <v>0</v>
      </c>
      <c r="W684">
        <f>IF(S684="F",1,0)</f>
        <v>0</v>
      </c>
    </row>
    <row r="685" spans="1:23" x14ac:dyDescent="0.3">
      <c r="A685" t="s">
        <v>14</v>
      </c>
      <c r="B685">
        <v>9.6158850999999999</v>
      </c>
      <c r="D685">
        <v>4.5849129</v>
      </c>
      <c r="E685">
        <v>5.5225481E-2</v>
      </c>
      <c r="F685">
        <v>1846.6</v>
      </c>
      <c r="G685" t="str">
        <f>IF(OR(C685="",B685="",B685=0),"",5.51*(C685/(B685^3)))</f>
        <v/>
      </c>
      <c r="H685">
        <v>6272</v>
      </c>
      <c r="I685">
        <v>5.8905997921251627</v>
      </c>
      <c r="L685">
        <f>IF(AND(B685&gt;=0.8,B685&lt;=1.5),1,IF(AND(B685&gt;=0.5,B685&lt;=2),0.5,0))</f>
        <v>0</v>
      </c>
      <c r="M685">
        <f>IF(AND(C685&gt;=0.5,C685&lt;=2),1,IF(AND(C685&gt;=0.1,C685&lt;=5),0.5,0))</f>
        <v>0</v>
      </c>
      <c r="N685">
        <f>IF(AND(G685&gt;=4,G685&lt;=7),1,IF(AND(G685&gt;=3,G685&lt;=8),0.5,0))</f>
        <v>0</v>
      </c>
      <c r="O685">
        <f>IF(AND(F685&gt;=270,F685&lt;=310),1,IF(AND(F685&gt;=250,F685&lt;=330),0.5,0))</f>
        <v>0</v>
      </c>
      <c r="P685">
        <f>IF(AND(E685&gt;=0.8,E685&lt;=1.5),1,IF(AND(E685&gt;=0.5,E685&lt;=2),0.5,0))</f>
        <v>0</v>
      </c>
      <c r="Q685">
        <f>IF(AND(H685&gt;=5000,H685&lt;=6000),1,IF(AND(H685&gt;=4000,H685&lt;5000),0.5,0))</f>
        <v>0</v>
      </c>
      <c r="R685">
        <f>0.35*AVERAGE(L685:M685:N685)+0.3*O685+0.2*P685+0.15*Q685</f>
        <v>0</v>
      </c>
      <c r="S685" t="str">
        <f>LEFT(K685,1)</f>
        <v/>
      </c>
      <c r="T685">
        <f>IF(S685="G",1,0)</f>
        <v>0</v>
      </c>
      <c r="U685">
        <f>IF(S685="K",1,0)</f>
        <v>0</v>
      </c>
      <c r="V685">
        <f>IF(S685="M",1,0)</f>
        <v>0</v>
      </c>
      <c r="W685">
        <f>IF(S685="F",1,0)</f>
        <v>0</v>
      </c>
    </row>
    <row r="686" spans="1:23" x14ac:dyDescent="0.3">
      <c r="A686" t="s">
        <v>13</v>
      </c>
      <c r="B686">
        <v>3.1859999999999999</v>
      </c>
      <c r="C686">
        <v>16.137</v>
      </c>
      <c r="D686">
        <v>3.183792</v>
      </c>
      <c r="E686">
        <v>4.1657E-2</v>
      </c>
      <c r="F686">
        <v>1317</v>
      </c>
      <c r="G686">
        <f>IF(OR(C686="",B686="",B686=0),"",5.51*(C686/(B686^3)))</f>
        <v>2.7493946513369742</v>
      </c>
      <c r="H686">
        <v>5626</v>
      </c>
      <c r="I686">
        <v>0.94989366347232174</v>
      </c>
      <c r="J686">
        <v>0.08</v>
      </c>
      <c r="K686" t="s">
        <v>12</v>
      </c>
      <c r="L686">
        <f>IF(AND(B686&gt;=0.8,B686&lt;=1.5),1,IF(AND(B686&gt;=0.5,B686&lt;=2),0.5,0))</f>
        <v>0</v>
      </c>
      <c r="M686">
        <f>IF(AND(C686&gt;=0.5,C686&lt;=2),1,IF(AND(C686&gt;=0.1,C686&lt;=5),0.5,0))</f>
        <v>0</v>
      </c>
      <c r="N686">
        <f>IF(AND(G686&gt;=4,G686&lt;=7),1,IF(AND(G686&gt;=3,G686&lt;=8),0.5,0))</f>
        <v>0</v>
      </c>
      <c r="O686">
        <f>IF(AND(F686&gt;=270,F686&lt;=310),1,IF(AND(F686&gt;=250,F686&lt;=330),0.5,0))</f>
        <v>0</v>
      </c>
      <c r="P686">
        <f>IF(AND(E686&gt;=0.8,E686&lt;=1.5),1,IF(AND(E686&gt;=0.5,E686&lt;=2),0.5,0))</f>
        <v>0</v>
      </c>
      <c r="Q686">
        <f>IF(AND(H686&gt;=5000,H686&lt;=6000),1,IF(AND(H686&gt;=4000,H686&lt;5000),0.5,0))</f>
        <v>1</v>
      </c>
      <c r="R686">
        <f>0.35*AVERAGE(L686:M686:N686)+0.3*O686+0.2*P686+0.15*Q686</f>
        <v>0.15</v>
      </c>
      <c r="S686" t="str">
        <f>LEFT(K686,1)</f>
        <v>G</v>
      </c>
      <c r="T686">
        <f>IF(S686="G",1,0)</f>
        <v>1</v>
      </c>
      <c r="U686">
        <f>IF(S686="K",1,0)</f>
        <v>0</v>
      </c>
      <c r="V686">
        <f>IF(S686="M",1,0)</f>
        <v>0</v>
      </c>
      <c r="W686">
        <f>IF(S686="F",1,0)</f>
        <v>0</v>
      </c>
    </row>
    <row r="687" spans="1:23" x14ac:dyDescent="0.3">
      <c r="A687" t="s">
        <v>11</v>
      </c>
      <c r="B687">
        <v>1.93</v>
      </c>
      <c r="C687">
        <v>5.0999999999999996</v>
      </c>
      <c r="D687">
        <v>4.6780691000000001</v>
      </c>
      <c r="E687">
        <v>4.1000000000000002E-2</v>
      </c>
      <c r="F687">
        <v>551</v>
      </c>
      <c r="G687">
        <f>IF(OR(C687="",B687="",B687=0),"",5.51*(C687/(B687^3)))</f>
        <v>3.9088575873024789</v>
      </c>
      <c r="H687">
        <v>3572</v>
      </c>
      <c r="I687">
        <v>2.5642696769595328E-2</v>
      </c>
      <c r="J687">
        <v>-0.19</v>
      </c>
      <c r="K687" t="s">
        <v>10</v>
      </c>
      <c r="L687">
        <f>IF(AND(B687&gt;=0.8,B687&lt;=1.5),1,IF(AND(B687&gt;=0.5,B687&lt;=2),0.5,0))</f>
        <v>0.5</v>
      </c>
      <c r="M687">
        <f>IF(AND(C687&gt;=0.5,C687&lt;=2),1,IF(AND(C687&gt;=0.1,C687&lt;=5),0.5,0))</f>
        <v>0</v>
      </c>
      <c r="N687">
        <f>IF(AND(G687&gt;=4,G687&lt;=7),1,IF(AND(G687&gt;=3,G687&lt;=8),0.5,0))</f>
        <v>0.5</v>
      </c>
      <c r="O687">
        <f>IF(AND(F687&gt;=270,F687&lt;=310),1,IF(AND(F687&gt;=250,F687&lt;=330),0.5,0))</f>
        <v>0</v>
      </c>
      <c r="P687">
        <f>IF(AND(E687&gt;=0.8,E687&lt;=1.5),1,IF(AND(E687&gt;=0.5,E687&lt;=2),0.5,0))</f>
        <v>0</v>
      </c>
      <c r="Q687">
        <f>IF(AND(H687&gt;=5000,H687&lt;=6000),1,IF(AND(H687&gt;=4000,H687&lt;5000),0.5,0))</f>
        <v>0</v>
      </c>
      <c r="R687">
        <f>0.35*AVERAGE(L687:M687:N687)+0.3*O687+0.2*P687+0.15*Q687</f>
        <v>0.11666666666666665</v>
      </c>
      <c r="S687" t="str">
        <f>LEFT(K687,1)</f>
        <v>M</v>
      </c>
      <c r="T687">
        <f>IF(S687="G",1,0)</f>
        <v>0</v>
      </c>
      <c r="U687">
        <f>IF(S687="K",1,0)</f>
        <v>0</v>
      </c>
      <c r="V687">
        <f>IF(S687="M",1,0)</f>
        <v>1</v>
      </c>
      <c r="W687">
        <f>IF(S687="F",1,0)</f>
        <v>0</v>
      </c>
    </row>
    <row r="688" spans="1:23" x14ac:dyDescent="0.3">
      <c r="A688" t="s">
        <v>9</v>
      </c>
      <c r="B688">
        <v>9.5500679999999996</v>
      </c>
      <c r="C688">
        <v>55.302419999999998</v>
      </c>
      <c r="D688">
        <v>3.6849729</v>
      </c>
      <c r="E688">
        <v>4.9630000000000001E-2</v>
      </c>
      <c r="F688">
        <v>1526</v>
      </c>
      <c r="G688">
        <f>IF(OR(C688="",B688="",B688=0),"",5.51*(C688/(B688^3)))</f>
        <v>0.34984554124943612</v>
      </c>
      <c r="H688">
        <v>5710</v>
      </c>
      <c r="I688">
        <v>3.4141024330849454</v>
      </c>
      <c r="J688">
        <v>0.215</v>
      </c>
      <c r="L688">
        <f>IF(AND(B688&gt;=0.8,B688&lt;=1.5),1,IF(AND(B688&gt;=0.5,B688&lt;=2),0.5,0))</f>
        <v>0</v>
      </c>
      <c r="M688">
        <f>IF(AND(C688&gt;=0.5,C688&lt;=2),1,IF(AND(C688&gt;=0.1,C688&lt;=5),0.5,0))</f>
        <v>0</v>
      </c>
      <c r="N688">
        <f>IF(AND(G688&gt;=4,G688&lt;=7),1,IF(AND(G688&gt;=3,G688&lt;=8),0.5,0))</f>
        <v>0</v>
      </c>
      <c r="O688">
        <f>IF(AND(F688&gt;=270,F688&lt;=310),1,IF(AND(F688&gt;=250,F688&lt;=330),0.5,0))</f>
        <v>0</v>
      </c>
      <c r="P688">
        <f>IF(AND(E688&gt;=0.8,E688&lt;=1.5),1,IF(AND(E688&gt;=0.5,E688&lt;=2),0.5,0))</f>
        <v>0</v>
      </c>
      <c r="Q688">
        <f>IF(AND(H688&gt;=5000,H688&lt;=6000),1,IF(AND(H688&gt;=4000,H688&lt;5000),0.5,0))</f>
        <v>1</v>
      </c>
      <c r="R688">
        <f>0.35*AVERAGE(L688:M688:N688)+0.3*O688+0.2*P688+0.15*Q688</f>
        <v>0.15</v>
      </c>
      <c r="S688" t="str">
        <f>LEFT(K688,1)</f>
        <v/>
      </c>
      <c r="T688">
        <f>IF(S688="G",1,0)</f>
        <v>0</v>
      </c>
      <c r="U688">
        <f>IF(S688="K",1,0)</f>
        <v>0</v>
      </c>
      <c r="V688">
        <f>IF(S688="M",1,0)</f>
        <v>0</v>
      </c>
      <c r="W688">
        <f>IF(S688="F",1,0)</f>
        <v>0</v>
      </c>
    </row>
    <row r="689" spans="1:23" x14ac:dyDescent="0.3">
      <c r="A689" t="s">
        <v>8</v>
      </c>
      <c r="B689">
        <v>2.7650000000000001</v>
      </c>
      <c r="C689">
        <v>9.1</v>
      </c>
      <c r="D689">
        <v>1.8237304999999999</v>
      </c>
      <c r="E689">
        <v>2.6360000000000001E-2</v>
      </c>
      <c r="F689">
        <v>941</v>
      </c>
      <c r="G689">
        <f>IF(OR(C689="",B689="",B689=0),"",5.51*(C689/(B689^3)))</f>
        <v>2.371961219609608</v>
      </c>
      <c r="H689">
        <v>4435</v>
      </c>
      <c r="I689">
        <v>0.15628215349765681</v>
      </c>
      <c r="J689">
        <v>0.17499999999999999</v>
      </c>
      <c r="K689" t="s">
        <v>7</v>
      </c>
      <c r="L689">
        <f>IF(AND(B689&gt;=0.8,B689&lt;=1.5),1,IF(AND(B689&gt;=0.5,B689&lt;=2),0.5,0))</f>
        <v>0</v>
      </c>
      <c r="M689">
        <f>IF(AND(C689&gt;=0.5,C689&lt;=2),1,IF(AND(C689&gt;=0.1,C689&lt;=5),0.5,0))</f>
        <v>0</v>
      </c>
      <c r="N689">
        <f>IF(AND(G689&gt;=4,G689&lt;=7),1,IF(AND(G689&gt;=3,G689&lt;=8),0.5,0))</f>
        <v>0</v>
      </c>
      <c r="O689">
        <f>IF(AND(F689&gt;=270,F689&lt;=310),1,IF(AND(F689&gt;=250,F689&lt;=330),0.5,0))</f>
        <v>0</v>
      </c>
      <c r="P689">
        <f>IF(AND(E689&gt;=0.8,E689&lt;=1.5),1,IF(AND(E689&gt;=0.5,E689&lt;=2),0.5,0))</f>
        <v>0</v>
      </c>
      <c r="Q689">
        <f>IF(AND(H689&gt;=5000,H689&lt;=6000),1,IF(AND(H689&gt;=4000,H689&lt;5000),0.5,0))</f>
        <v>0.5</v>
      </c>
      <c r="R689">
        <f>0.35*AVERAGE(L689:M689:N689)+0.3*O689+0.2*P689+0.15*Q689</f>
        <v>7.4999999999999997E-2</v>
      </c>
      <c r="S689" t="str">
        <f>LEFT(K689,1)</f>
        <v>K</v>
      </c>
      <c r="T689">
        <f>IF(S689="G",1,0)</f>
        <v>0</v>
      </c>
      <c r="U689">
        <f>IF(S689="K",1,0)</f>
        <v>1</v>
      </c>
      <c r="V689">
        <f>IF(S689="M",1,0)</f>
        <v>0</v>
      </c>
      <c r="W689">
        <f>IF(S689="F",1,0)</f>
        <v>0</v>
      </c>
    </row>
    <row r="690" spans="1:23" x14ac:dyDescent="0.3">
      <c r="A690" t="s">
        <v>6</v>
      </c>
      <c r="C690">
        <v>64.2</v>
      </c>
      <c r="D690">
        <v>7.63</v>
      </c>
      <c r="G690" t="str">
        <f>IF(OR(C690="",B690="",B690=0),"",5.51*(C690/(B690^3)))</f>
        <v/>
      </c>
      <c r="H690">
        <v>5800</v>
      </c>
      <c r="I690">
        <v>1.6376054165500749</v>
      </c>
      <c r="L690">
        <f>IF(AND(B690&gt;=0.8,B690&lt;=1.5),1,IF(AND(B690&gt;=0.5,B690&lt;=2),0.5,0))</f>
        <v>0</v>
      </c>
      <c r="M690">
        <f>IF(AND(C690&gt;=0.5,C690&lt;=2),1,IF(AND(C690&gt;=0.1,C690&lt;=5),0.5,0))</f>
        <v>0</v>
      </c>
      <c r="N690">
        <f>IF(AND(G690&gt;=4,G690&lt;=7),1,IF(AND(G690&gt;=3,G690&lt;=8),0.5,0))</f>
        <v>0</v>
      </c>
      <c r="O690">
        <f>IF(AND(F690&gt;=270,F690&lt;=310),1,IF(AND(F690&gt;=250,F690&lt;=330),0.5,0))</f>
        <v>0</v>
      </c>
      <c r="P690">
        <f>IF(AND(E690&gt;=0.8,E690&lt;=1.5),1,IF(AND(E690&gt;=0.5,E690&lt;=2),0.5,0))</f>
        <v>0</v>
      </c>
      <c r="Q690">
        <f>IF(AND(H690&gt;=5000,H690&lt;=6000),1,IF(AND(H690&gt;=4000,H690&lt;5000),0.5,0))</f>
        <v>1</v>
      </c>
      <c r="R690">
        <f>0.35*AVERAGE(L690:M690:N690)+0.3*O690+0.2*P690+0.15*Q690</f>
        <v>0.15</v>
      </c>
      <c r="S690" t="str">
        <f>LEFT(K690,1)</f>
        <v/>
      </c>
      <c r="T690">
        <f>IF(S690="G",1,0)</f>
        <v>0</v>
      </c>
      <c r="U690">
        <f>IF(S690="K",1,0)</f>
        <v>0</v>
      </c>
      <c r="V690">
        <f>IF(S690="M",1,0)</f>
        <v>0</v>
      </c>
      <c r="W690">
        <f>IF(S690="F",1,0)</f>
        <v>0</v>
      </c>
    </row>
    <row r="691" spans="1:23" x14ac:dyDescent="0.3">
      <c r="A691" t="s">
        <v>5</v>
      </c>
      <c r="B691">
        <v>1.841</v>
      </c>
      <c r="C691">
        <v>6.26</v>
      </c>
      <c r="D691">
        <v>1.0115362400000001</v>
      </c>
      <c r="E691">
        <v>1.8329999999999999E-2</v>
      </c>
      <c r="F691">
        <v>1329</v>
      </c>
      <c r="G691">
        <f>IF(OR(C691="",B691="",B691=0),"",5.51*(C691/(B691^3)))</f>
        <v>5.5279558594203868</v>
      </c>
      <c r="H691">
        <v>4686</v>
      </c>
      <c r="I691">
        <v>0.24856352445268826</v>
      </c>
      <c r="J691">
        <v>0.15</v>
      </c>
      <c r="K691" t="s">
        <v>4</v>
      </c>
      <c r="L691">
        <f>IF(AND(B691&gt;=0.8,B691&lt;=1.5),1,IF(AND(B691&gt;=0.5,B691&lt;=2),0.5,0))</f>
        <v>0.5</v>
      </c>
      <c r="M691">
        <f>IF(AND(C691&gt;=0.5,C691&lt;=2),1,IF(AND(C691&gt;=0.1,C691&lt;=5),0.5,0))</f>
        <v>0</v>
      </c>
      <c r="N691">
        <f>IF(AND(G691&gt;=4,G691&lt;=7),1,IF(AND(G691&gt;=3,G691&lt;=8),0.5,0))</f>
        <v>1</v>
      </c>
      <c r="O691">
        <f>IF(AND(F691&gt;=270,F691&lt;=310),1,IF(AND(F691&gt;=250,F691&lt;=330),0.5,0))</f>
        <v>0</v>
      </c>
      <c r="P691">
        <f>IF(AND(E691&gt;=0.8,E691&lt;=1.5),1,IF(AND(E691&gt;=0.5,E691&lt;=2),0.5,0))</f>
        <v>0</v>
      </c>
      <c r="Q691">
        <f>IF(AND(H691&gt;=5000,H691&lt;=6000),1,IF(AND(H691&gt;=4000,H691&lt;5000),0.5,0))</f>
        <v>0.5</v>
      </c>
      <c r="R691">
        <f>0.35*AVERAGE(L691:M691:N691)+0.3*O691+0.2*P691+0.15*Q691</f>
        <v>0.25</v>
      </c>
      <c r="S691" t="str">
        <f>LEFT(K691,1)</f>
        <v>K</v>
      </c>
      <c r="T691">
        <f>IF(S691="G",1,0)</f>
        <v>0</v>
      </c>
      <c r="U691">
        <f>IF(S691="K",1,0)</f>
        <v>1</v>
      </c>
      <c r="V691">
        <f>IF(S691="M",1,0)</f>
        <v>0</v>
      </c>
      <c r="W691">
        <f>IF(S691="F",1,0)</f>
        <v>0</v>
      </c>
    </row>
    <row r="692" spans="1:23" x14ac:dyDescent="0.3">
      <c r="A692" t="s">
        <v>3</v>
      </c>
      <c r="C692">
        <v>55.2</v>
      </c>
      <c r="D692">
        <v>2.1558000000000002</v>
      </c>
      <c r="E692">
        <v>3.5000000000000003E-2</v>
      </c>
      <c r="G692" t="str">
        <f>IF(OR(C692="",B692="",B692=0),"",5.51*(C692/(B692^3)))</f>
        <v/>
      </c>
      <c r="H692">
        <v>6400</v>
      </c>
      <c r="I692">
        <v>2.2772985455943657</v>
      </c>
      <c r="L692">
        <f>IF(AND(B692&gt;=0.8,B692&lt;=1.5),1,IF(AND(B692&gt;=0.5,B692&lt;=2),0.5,0))</f>
        <v>0</v>
      </c>
      <c r="M692">
        <f>IF(AND(C692&gt;=0.5,C692&lt;=2),1,IF(AND(C692&gt;=0.1,C692&lt;=5),0.5,0))</f>
        <v>0</v>
      </c>
      <c r="N692">
        <f>IF(AND(G692&gt;=4,G692&lt;=7),1,IF(AND(G692&gt;=3,G692&lt;=8),0.5,0))</f>
        <v>0</v>
      </c>
      <c r="O692">
        <f>IF(AND(F692&gt;=270,F692&lt;=310),1,IF(AND(F692&gt;=250,F692&lt;=330),0.5,0))</f>
        <v>0</v>
      </c>
      <c r="P692">
        <f>IF(AND(E692&gt;=0.8,E692&lt;=1.5),1,IF(AND(E692&gt;=0.5,E692&lt;=2),0.5,0))</f>
        <v>0</v>
      </c>
      <c r="Q692">
        <f>IF(AND(H692&gt;=5000,H692&lt;=6000),1,IF(AND(H692&gt;=4000,H692&lt;5000),0.5,0))</f>
        <v>0</v>
      </c>
      <c r="R692">
        <f>0.35*AVERAGE(L692:M692:N692)+0.3*O692+0.2*P692+0.15*Q692</f>
        <v>0</v>
      </c>
      <c r="S692" t="str">
        <f>LEFT(K692,1)</f>
        <v/>
      </c>
      <c r="T692">
        <f>IF(S692="G",1,0)</f>
        <v>0</v>
      </c>
      <c r="U692">
        <f>IF(S692="K",1,0)</f>
        <v>0</v>
      </c>
      <c r="V692">
        <f>IF(S692="M",1,0)</f>
        <v>0</v>
      </c>
      <c r="W692">
        <f>IF(S692="F",1,0)</f>
        <v>0</v>
      </c>
    </row>
    <row r="693" spans="1:23" x14ac:dyDescent="0.3">
      <c r="A693" t="s">
        <v>2</v>
      </c>
      <c r="B693">
        <v>10.4</v>
      </c>
      <c r="C693">
        <v>4386.0540000000001</v>
      </c>
      <c r="D693">
        <v>1.4079405</v>
      </c>
      <c r="E693">
        <v>2.0400000000000001E-2</v>
      </c>
      <c r="F693">
        <v>163</v>
      </c>
      <c r="G693">
        <f>IF(OR(C693="",B693="",B693=0),"",5.51*(C693/(B693^3)))</f>
        <v>21.484515052486341</v>
      </c>
      <c r="H693">
        <v>4710</v>
      </c>
      <c r="I693">
        <v>7.5773277002740889E-5</v>
      </c>
      <c r="L693">
        <f>IF(AND(B693&gt;=0.8,B693&lt;=1.5),1,IF(AND(B693&gt;=0.5,B693&lt;=2),0.5,0))</f>
        <v>0</v>
      </c>
      <c r="M693">
        <f>IF(AND(C693&gt;=0.5,C693&lt;=2),1,IF(AND(C693&gt;=0.1,C693&lt;=5),0.5,0))</f>
        <v>0</v>
      </c>
      <c r="N693">
        <f>IF(AND(G693&gt;=4,G693&lt;=7),1,IF(AND(G693&gt;=3,G693&lt;=8),0.5,0))</f>
        <v>0</v>
      </c>
      <c r="O693">
        <f>IF(AND(F693&gt;=270,F693&lt;=310),1,IF(AND(F693&gt;=250,F693&lt;=330),0.5,0))</f>
        <v>0</v>
      </c>
      <c r="P693">
        <f>IF(AND(E693&gt;=0.8,E693&lt;=1.5),1,IF(AND(E693&gt;=0.5,E693&lt;=2),0.5,0))</f>
        <v>0</v>
      </c>
      <c r="Q693">
        <f>IF(AND(H693&gt;=5000,H693&lt;=6000),1,IF(AND(H693&gt;=4000,H693&lt;5000),0.5,0))</f>
        <v>0.5</v>
      </c>
      <c r="R693">
        <f>0.35*AVERAGE(L693:M693:N693)+0.3*O693+0.2*P693+0.15*Q693</f>
        <v>7.4999999999999997E-2</v>
      </c>
      <c r="S693" t="str">
        <f>LEFT(K693,1)</f>
        <v/>
      </c>
      <c r="T693">
        <f>IF(S693="G",1,0)</f>
        <v>0</v>
      </c>
      <c r="U693">
        <f>IF(S693="K",1,0)</f>
        <v>0</v>
      </c>
      <c r="V693">
        <f>IF(S693="M",1,0)</f>
        <v>0</v>
      </c>
      <c r="W693">
        <f>IF(S693="F",1,0)</f>
        <v>0</v>
      </c>
    </row>
    <row r="694" spans="1:23" x14ac:dyDescent="0.3">
      <c r="A694" t="s">
        <v>1</v>
      </c>
      <c r="B694">
        <v>1.24</v>
      </c>
      <c r="C694">
        <v>2.5299999999999998</v>
      </c>
      <c r="D694">
        <v>0.5734745</v>
      </c>
      <c r="E694">
        <v>0.01</v>
      </c>
      <c r="F694">
        <v>996</v>
      </c>
      <c r="G694">
        <f>IF(OR(C694="",B694="",B694=0),"",5.51*(C694/(B694^3)))</f>
        <v>7.3115097680507519</v>
      </c>
      <c r="H694">
        <v>3542</v>
      </c>
      <c r="I694">
        <v>2.3277489774363475E-2</v>
      </c>
      <c r="J694">
        <v>-0.17</v>
      </c>
      <c r="K694" t="s">
        <v>0</v>
      </c>
      <c r="L694">
        <f>IF(AND(B694&gt;=0.8,B694&lt;=1.5),1,IF(AND(B694&gt;=0.5,B694&lt;=2),0.5,0))</f>
        <v>1</v>
      </c>
      <c r="M694">
        <f>IF(AND(C694&gt;=0.5,C694&lt;=2),1,IF(AND(C694&gt;=0.1,C694&lt;=5),0.5,0))</f>
        <v>0.5</v>
      </c>
      <c r="N694">
        <f>IF(AND(G694&gt;=4,G694&lt;=7),1,IF(AND(G694&gt;=3,G694&lt;=8),0.5,0))</f>
        <v>0.5</v>
      </c>
      <c r="O694">
        <f>IF(AND(F694&gt;=270,F694&lt;=310),1,IF(AND(F694&gt;=250,F694&lt;=330),0.5,0))</f>
        <v>0</v>
      </c>
      <c r="P694">
        <f>IF(AND(E694&gt;=0.8,E694&lt;=1.5),1,IF(AND(E694&gt;=0.5,E694&lt;=2),0.5,0))</f>
        <v>0</v>
      </c>
      <c r="Q694">
        <f>IF(AND(H694&gt;=5000,H694&lt;=6000),1,IF(AND(H694&gt;=4000,H694&lt;5000),0.5,0))</f>
        <v>0</v>
      </c>
      <c r="R694">
        <f>0.35*AVERAGE(L694:M694:N694)+0.3*O694+0.2*P694+0.15*Q694</f>
        <v>0.23333333333333331</v>
      </c>
      <c r="S694" t="str">
        <f>LEFT(K694,1)</f>
        <v>M</v>
      </c>
      <c r="T694">
        <f>IF(S694="G",1,0)</f>
        <v>0</v>
      </c>
      <c r="U694">
        <f>IF(S694="K",1,0)</f>
        <v>0</v>
      </c>
      <c r="V694">
        <f>IF(S694="M",1,0)</f>
        <v>1</v>
      </c>
      <c r="W694">
        <f>IF(S694="F",1,0)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Layak Sukhavasi</dc:creator>
  <cp:lastModifiedBy>Layak Sukhavasi</cp:lastModifiedBy>
  <dcterms:created xsi:type="dcterms:W3CDTF">2026-01-17T11:34:03Z</dcterms:created>
  <dcterms:modified xsi:type="dcterms:W3CDTF">2026-01-17T11:34:42Z</dcterms:modified>
</cp:coreProperties>
</file>